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Emmanuel Ndifreke\Documents\CSN OSS\CSN EMMY\"/>
    </mc:Choice>
  </mc:AlternateContent>
  <xr:revisionPtr revIDLastSave="0" documentId="13_ncr:1_{C32A5B5A-1640-4D0C-BB91-32496600D273}" xr6:coauthVersionLast="47" xr6:coauthVersionMax="47" xr10:uidLastSave="{00000000-0000-0000-0000-000000000000}"/>
  <bookViews>
    <workbookView xWindow="-120" yWindow="-120" windowWidth="20730" windowHeight="11160" activeTab="2" xr2:uid="{5211EB74-DE2E-4E06-B4CF-316F23C2B175}"/>
  </bookViews>
  <sheets>
    <sheet name="DASH BOARD" sheetId="3" r:id="rId1"/>
    <sheet name="GRANULAR ANALYSIS" sheetId="4" r:id="rId2"/>
    <sheet name="AKWAKUMA HTS" sheetId="1" r:id="rId3"/>
    <sheet name="MBEIRI HTS" sheetId="2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2" i="3" l="1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J11" i="2"/>
  <c r="I11" i="2"/>
  <c r="J10" i="2"/>
  <c r="I10" i="2"/>
  <c r="J9" i="2"/>
  <c r="I8" i="2"/>
  <c r="I9" i="2"/>
  <c r="J8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7" i="2"/>
  <c r="F8" i="2"/>
  <c r="F9" i="2"/>
  <c r="F10" i="2"/>
  <c r="F11" i="2"/>
  <c r="F12" i="2"/>
  <c r="F13" i="2"/>
  <c r="F14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J7" i="2"/>
  <c r="I7" i="2"/>
  <c r="I6" i="2"/>
  <c r="B14" i="3"/>
  <c r="P3" i="3"/>
  <c r="O3" i="3"/>
  <c r="C14" i="3"/>
  <c r="C15" i="3"/>
  <c r="C16" i="3"/>
  <c r="C17" i="3"/>
  <c r="C18" i="3"/>
  <c r="C19" i="3"/>
  <c r="C20" i="3"/>
  <c r="C21" i="3"/>
  <c r="B15" i="3"/>
  <c r="B16" i="3"/>
  <c r="B17" i="3"/>
  <c r="B18" i="3"/>
  <c r="B19" i="3"/>
  <c r="B20" i="3"/>
  <c r="B21" i="3"/>
  <c r="J16" i="3"/>
  <c r="J17" i="3"/>
  <c r="J18" i="3"/>
  <c r="J19" i="3"/>
  <c r="J20" i="3"/>
  <c r="J21" i="3"/>
  <c r="J22" i="3"/>
  <c r="J23" i="3"/>
  <c r="J24" i="3"/>
  <c r="J25" i="3"/>
  <c r="J26" i="3"/>
  <c r="I16" i="3"/>
  <c r="I17" i="3"/>
  <c r="I18" i="3"/>
  <c r="I19" i="3"/>
  <c r="I20" i="3"/>
  <c r="I21" i="3"/>
  <c r="I22" i="3"/>
  <c r="I23" i="3"/>
  <c r="I24" i="3"/>
  <c r="I25" i="3"/>
  <c r="I26" i="3"/>
  <c r="Q10" i="2"/>
  <c r="P10" i="2"/>
  <c r="S11" i="2"/>
  <c r="S12" i="2"/>
  <c r="S13" i="2"/>
  <c r="S14" i="2"/>
  <c r="S15" i="2"/>
  <c r="S16" i="2"/>
  <c r="S17" i="2"/>
  <c r="S18" i="2"/>
  <c r="S19" i="2"/>
  <c r="R10" i="2"/>
  <c r="S10" i="2" s="1"/>
  <c r="R11" i="2"/>
  <c r="R12" i="2"/>
  <c r="R13" i="2"/>
  <c r="R14" i="2"/>
  <c r="R15" i="2"/>
  <c r="R16" i="2"/>
  <c r="R17" i="2"/>
  <c r="R18" i="2"/>
  <c r="R19" i="2"/>
  <c r="Q9" i="2"/>
  <c r="P9" i="2"/>
  <c r="Q8" i="2"/>
  <c r="J6" i="2"/>
  <c r="I5" i="2"/>
  <c r="H11" i="1"/>
  <c r="H12" i="1"/>
  <c r="N17" i="1"/>
  <c r="N16" i="1"/>
  <c r="I19" i="1"/>
  <c r="H19" i="1"/>
  <c r="J19" i="1" s="1"/>
  <c r="I18" i="1"/>
  <c r="H18" i="1"/>
  <c r="J18" i="1" s="1"/>
  <c r="J20" i="1"/>
  <c r="J21" i="1"/>
  <c r="J22" i="1"/>
  <c r="H17" i="1"/>
  <c r="I17" i="1"/>
  <c r="N15" i="1"/>
  <c r="H16" i="1"/>
  <c r="J16" i="1" s="1"/>
  <c r="P17" i="1"/>
  <c r="Q17" i="1" s="1"/>
  <c r="O17" i="1"/>
  <c r="O18" i="1"/>
  <c r="O19" i="1"/>
  <c r="O20" i="1"/>
  <c r="O21" i="1"/>
  <c r="O22" i="1"/>
  <c r="O23" i="1"/>
  <c r="O24" i="1"/>
  <c r="O25" i="1"/>
  <c r="O26" i="1"/>
  <c r="N18" i="1"/>
  <c r="P18" i="1" s="1"/>
  <c r="Q18" i="1" s="1"/>
  <c r="N19" i="1"/>
  <c r="N20" i="1"/>
  <c r="P20" i="1" s="1"/>
  <c r="Q20" i="1" s="1"/>
  <c r="N21" i="1"/>
  <c r="N22" i="1"/>
  <c r="P22" i="1" s="1"/>
  <c r="Q22" i="1" s="1"/>
  <c r="N23" i="1"/>
  <c r="N24" i="1"/>
  <c r="P24" i="1" s="1"/>
  <c r="Q24" i="1" s="1"/>
  <c r="N25" i="1"/>
  <c r="N26" i="1"/>
  <c r="P26" i="1" s="1"/>
  <c r="Q26" i="1" s="1"/>
  <c r="N27" i="1"/>
  <c r="I16" i="1"/>
  <c r="O16" i="1"/>
  <c r="I15" i="1"/>
  <c r="H15" i="1"/>
  <c r="I14" i="1"/>
  <c r="H14" i="1"/>
  <c r="I13" i="1"/>
  <c r="C13" i="3" s="1"/>
  <c r="H13" i="1"/>
  <c r="B13" i="3" s="1"/>
  <c r="I4" i="2"/>
  <c r="I3" i="2"/>
  <c r="P7" i="2" s="1"/>
  <c r="H10" i="1"/>
  <c r="H9" i="1"/>
  <c r="B9" i="3" s="1"/>
  <c r="E4" i="2"/>
  <c r="J4" i="2" s="1"/>
  <c r="E33" i="1"/>
  <c r="F33" i="1"/>
  <c r="R5" i="2"/>
  <c r="R6" i="2"/>
  <c r="R9" i="2"/>
  <c r="E32" i="1"/>
  <c r="F32" i="1"/>
  <c r="E31" i="1"/>
  <c r="F31" i="1"/>
  <c r="B11" i="3"/>
  <c r="E30" i="1"/>
  <c r="F30" i="1"/>
  <c r="E29" i="1"/>
  <c r="I11" i="1" s="1"/>
  <c r="F29" i="1"/>
  <c r="N14" i="1"/>
  <c r="E25" i="1"/>
  <c r="E26" i="1"/>
  <c r="E27" i="1"/>
  <c r="E28" i="1"/>
  <c r="F25" i="1"/>
  <c r="F26" i="1"/>
  <c r="F27" i="1"/>
  <c r="F28" i="1"/>
  <c r="E24" i="1"/>
  <c r="F24" i="1"/>
  <c r="H4" i="1"/>
  <c r="B4" i="3" s="1"/>
  <c r="H3" i="1"/>
  <c r="B3" i="3" s="1"/>
  <c r="H6" i="1"/>
  <c r="B6" i="3" s="1"/>
  <c r="H5" i="1"/>
  <c r="B5" i="3" s="1"/>
  <c r="H8" i="1"/>
  <c r="B8" i="3" s="1"/>
  <c r="N13" i="1"/>
  <c r="H7" i="1"/>
  <c r="K6" i="2"/>
  <c r="L5" i="2" s="1"/>
  <c r="K8" i="2"/>
  <c r="L7" i="2" s="1"/>
  <c r="K9" i="2"/>
  <c r="L8" i="2" s="1"/>
  <c r="K10" i="2"/>
  <c r="L9" i="2" s="1"/>
  <c r="K11" i="2"/>
  <c r="L10" i="2" s="1"/>
  <c r="K12" i="2"/>
  <c r="L11" i="2" s="1"/>
  <c r="K13" i="2"/>
  <c r="L12" i="2" s="1"/>
  <c r="K14" i="2"/>
  <c r="L13" i="2" s="1"/>
  <c r="K15" i="2"/>
  <c r="L14" i="2" s="1"/>
  <c r="P11" i="1"/>
  <c r="P4" i="1"/>
  <c r="P5" i="1"/>
  <c r="P6" i="1"/>
  <c r="P7" i="1"/>
  <c r="P8" i="1"/>
  <c r="P9" i="1"/>
  <c r="P10" i="1"/>
  <c r="Q10" i="1" s="1"/>
  <c r="K7" i="2" l="1"/>
  <c r="L6" i="2" s="1"/>
  <c r="P8" i="2"/>
  <c r="I15" i="3" s="1"/>
  <c r="O4" i="3" s="1"/>
  <c r="K4" i="2"/>
  <c r="K26" i="3"/>
  <c r="L26" i="3" s="1"/>
  <c r="K24" i="3"/>
  <c r="L24" i="3" s="1"/>
  <c r="K22" i="3"/>
  <c r="L22" i="3" s="1"/>
  <c r="K20" i="3"/>
  <c r="L20" i="3" s="1"/>
  <c r="B7" i="3"/>
  <c r="B10" i="3"/>
  <c r="K25" i="3"/>
  <c r="L25" i="3" s="1"/>
  <c r="K23" i="3"/>
  <c r="L23" i="3" s="1"/>
  <c r="K21" i="3"/>
  <c r="L21" i="3" s="1"/>
  <c r="K19" i="3"/>
  <c r="L19" i="3" s="1"/>
  <c r="K17" i="3"/>
  <c r="L17" i="3" s="1"/>
  <c r="Q25" i="1"/>
  <c r="Q21" i="1"/>
  <c r="P25" i="1"/>
  <c r="P23" i="1"/>
  <c r="Q23" i="1" s="1"/>
  <c r="P21" i="1"/>
  <c r="P19" i="1"/>
  <c r="Q19" i="1" s="1"/>
  <c r="J17" i="1"/>
  <c r="J15" i="1"/>
  <c r="J13" i="1"/>
  <c r="J11" i="1"/>
  <c r="D18" i="3"/>
  <c r="E18" i="3" s="1"/>
  <c r="J14" i="1"/>
  <c r="K17" i="1"/>
  <c r="K16" i="1"/>
  <c r="D21" i="3"/>
  <c r="E21" i="3" s="1"/>
  <c r="D19" i="3"/>
  <c r="E19" i="3" s="1"/>
  <c r="D17" i="3"/>
  <c r="E17" i="3" s="1"/>
  <c r="D15" i="3"/>
  <c r="E15" i="3" s="1"/>
  <c r="K16" i="3"/>
  <c r="K14" i="1"/>
  <c r="O15" i="1"/>
  <c r="C11" i="3"/>
  <c r="D11" i="3" s="1"/>
  <c r="E11" i="3" s="1"/>
  <c r="K11" i="1"/>
  <c r="I12" i="1"/>
  <c r="K15" i="1"/>
  <c r="D13" i="3"/>
  <c r="E13" i="3" s="1"/>
  <c r="K13" i="1"/>
  <c r="B12" i="3"/>
  <c r="D20" i="3"/>
  <c r="E20" i="3" s="1"/>
  <c r="D16" i="3"/>
  <c r="E16" i="3" s="1"/>
  <c r="D14" i="3"/>
  <c r="E14" i="3" s="1"/>
  <c r="I10" i="1"/>
  <c r="C10" i="3" s="1"/>
  <c r="D10" i="3" s="1"/>
  <c r="E10" i="3" s="1"/>
  <c r="J11" i="3"/>
  <c r="J12" i="3"/>
  <c r="I12" i="3"/>
  <c r="I11" i="3"/>
  <c r="J10" i="3"/>
  <c r="J8" i="3"/>
  <c r="J4" i="3"/>
  <c r="J5" i="3"/>
  <c r="J6" i="3"/>
  <c r="J7" i="3"/>
  <c r="J9" i="3"/>
  <c r="I3" i="3"/>
  <c r="J3" i="3"/>
  <c r="I8" i="3"/>
  <c r="I10" i="3"/>
  <c r="I9" i="3"/>
  <c r="I7" i="3"/>
  <c r="I6" i="3"/>
  <c r="I5" i="3"/>
  <c r="I4" i="3"/>
  <c r="E15" i="2"/>
  <c r="E14" i="2"/>
  <c r="E13" i="2"/>
  <c r="E12" i="2"/>
  <c r="E11" i="2"/>
  <c r="E10" i="2"/>
  <c r="E9" i="2"/>
  <c r="E8" i="2"/>
  <c r="F6" i="2"/>
  <c r="E7" i="2"/>
  <c r="F5" i="2"/>
  <c r="E6" i="2"/>
  <c r="F4" i="2"/>
  <c r="E5" i="2"/>
  <c r="F3" i="2"/>
  <c r="E3" i="2"/>
  <c r="J3" i="2" s="1"/>
  <c r="J10" i="1" l="1"/>
  <c r="J12" i="1"/>
  <c r="K12" i="1" s="1"/>
  <c r="K10" i="1"/>
  <c r="K4" i="3"/>
  <c r="L4" i="3" s="1"/>
  <c r="K9" i="3"/>
  <c r="L9" i="3" s="1"/>
  <c r="K5" i="3"/>
  <c r="L5" i="3" s="1"/>
  <c r="K7" i="3"/>
  <c r="L7" i="3" s="1"/>
  <c r="J5" i="2"/>
  <c r="C12" i="3" s="1"/>
  <c r="D12" i="3" s="1"/>
  <c r="E12" i="3" s="1"/>
  <c r="I14" i="3"/>
  <c r="K3" i="3"/>
  <c r="L16" i="3"/>
  <c r="K8" i="3"/>
  <c r="L8" i="3" s="1"/>
  <c r="K11" i="3"/>
  <c r="L11" i="3" s="1"/>
  <c r="K6" i="3"/>
  <c r="L6" i="3" s="1"/>
  <c r="K12" i="3"/>
  <c r="L12" i="3" s="1"/>
  <c r="K10" i="3"/>
  <c r="L10" i="3" s="1"/>
  <c r="P20" i="2"/>
  <c r="F4" i="1"/>
  <c r="F5" i="1"/>
  <c r="F6" i="1"/>
  <c r="F3" i="1"/>
  <c r="I13" i="3"/>
  <c r="E5" i="1"/>
  <c r="E6" i="1"/>
  <c r="E7" i="1"/>
  <c r="E8" i="1"/>
  <c r="E9" i="1"/>
  <c r="E10" i="1"/>
  <c r="E11" i="1"/>
  <c r="E4" i="1"/>
  <c r="I4" i="1" s="1"/>
  <c r="J4" i="1" s="1"/>
  <c r="E3" i="1"/>
  <c r="E12" i="1"/>
  <c r="E13" i="1"/>
  <c r="E14" i="1"/>
  <c r="E15" i="1"/>
  <c r="E16" i="1"/>
  <c r="E17" i="1"/>
  <c r="E18" i="1"/>
  <c r="E19" i="1"/>
  <c r="E20" i="1"/>
  <c r="E21" i="1"/>
  <c r="E22" i="1"/>
  <c r="E23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S9" i="2"/>
  <c r="S6" i="2"/>
  <c r="S5" i="2"/>
  <c r="R4" i="2"/>
  <c r="S4" i="2" s="1"/>
  <c r="R3" i="2"/>
  <c r="S3" i="2" s="1"/>
  <c r="S20" i="2" s="1"/>
  <c r="Q4" i="1"/>
  <c r="Q5" i="1"/>
  <c r="Q6" i="1"/>
  <c r="Q7" i="1"/>
  <c r="Q8" i="1"/>
  <c r="Q9" i="1"/>
  <c r="Q11" i="1"/>
  <c r="P12" i="1"/>
  <c r="Q12" i="1" s="1"/>
  <c r="P15" i="1"/>
  <c r="Q15" i="1" s="1"/>
  <c r="P16" i="1"/>
  <c r="Q16" i="1" s="1"/>
  <c r="P3" i="1"/>
  <c r="Q3" i="1" s="1"/>
  <c r="I7" i="1" l="1"/>
  <c r="J7" i="1" s="1"/>
  <c r="C4" i="3"/>
  <c r="D4" i="3" s="1"/>
  <c r="E4" i="3" s="1"/>
  <c r="K4" i="1"/>
  <c r="I6" i="1"/>
  <c r="J6" i="1" s="1"/>
  <c r="I5" i="1"/>
  <c r="J5" i="1" s="1"/>
  <c r="L3" i="3"/>
  <c r="I3" i="1"/>
  <c r="J3" i="1" s="1"/>
  <c r="K5" i="2"/>
  <c r="L4" i="2" s="1"/>
  <c r="R8" i="2"/>
  <c r="S8" i="2" s="1"/>
  <c r="Q3" i="3"/>
  <c r="R3" i="3" s="1"/>
  <c r="Q7" i="2"/>
  <c r="R7" i="2" s="1"/>
  <c r="S7" i="2" s="1"/>
  <c r="K3" i="2"/>
  <c r="L3" i="2" s="1"/>
  <c r="I9" i="1"/>
  <c r="J9" i="1" s="1"/>
  <c r="I8" i="1"/>
  <c r="J8" i="1" s="1"/>
  <c r="O14" i="1"/>
  <c r="O13" i="1"/>
  <c r="P13" i="1"/>
  <c r="Q13" i="1" s="1"/>
  <c r="J14" i="3" l="1"/>
  <c r="J13" i="3"/>
  <c r="O27" i="1"/>
  <c r="K13" i="3"/>
  <c r="K8" i="1"/>
  <c r="C8" i="3"/>
  <c r="D8" i="3" s="1"/>
  <c r="E8" i="3" s="1"/>
  <c r="K5" i="1"/>
  <c r="C5" i="3"/>
  <c r="D5" i="3" s="1"/>
  <c r="E5" i="3" s="1"/>
  <c r="C7" i="3"/>
  <c r="D7" i="3" s="1"/>
  <c r="E7" i="3" s="1"/>
  <c r="K7" i="1"/>
  <c r="K9" i="1"/>
  <c r="C9" i="3"/>
  <c r="D9" i="3" s="1"/>
  <c r="E9" i="3" s="1"/>
  <c r="C3" i="3"/>
  <c r="D3" i="3" s="1"/>
  <c r="E3" i="3" s="1"/>
  <c r="K3" i="1"/>
  <c r="C6" i="3"/>
  <c r="D6" i="3" s="1"/>
  <c r="E6" i="3" s="1"/>
  <c r="K6" i="1"/>
  <c r="I27" i="3"/>
  <c r="J15" i="3"/>
  <c r="Q20" i="2"/>
  <c r="K14" i="3"/>
  <c r="L14" i="3" s="1"/>
  <c r="P14" i="1"/>
  <c r="P27" i="1" s="1"/>
  <c r="Q27" i="1" s="1"/>
  <c r="K15" i="3" l="1"/>
  <c r="L15" i="3" s="1"/>
  <c r="P4" i="3"/>
  <c r="Q4" i="3" s="1"/>
  <c r="R4" i="3" s="1"/>
  <c r="R20" i="2"/>
  <c r="K18" i="3"/>
  <c r="L18" i="3" s="1"/>
  <c r="L13" i="3"/>
  <c r="Q14" i="1"/>
  <c r="K27" i="3" l="1"/>
  <c r="L27" i="3" s="1"/>
  <c r="J27" i="3"/>
</calcChain>
</file>

<file path=xl/sharedStrings.xml><?xml version="1.0" encoding="utf-8"?>
<sst xmlns="http://schemas.openxmlformats.org/spreadsheetml/2006/main" count="236" uniqueCount="86">
  <si>
    <t>S/N</t>
  </si>
  <si>
    <t>POSITIVE</t>
  </si>
  <si>
    <t>NEGATIVE</t>
  </si>
  <si>
    <t>TOTAL TESTED</t>
  </si>
  <si>
    <t>YIELD</t>
  </si>
  <si>
    <t>MONTHS</t>
  </si>
  <si>
    <t>YEAR</t>
  </si>
  <si>
    <t>OCT</t>
  </si>
  <si>
    <t>NOV</t>
  </si>
  <si>
    <t>DEC</t>
  </si>
  <si>
    <t>JAN</t>
  </si>
  <si>
    <t>FEB</t>
  </si>
  <si>
    <t>MARCH</t>
  </si>
  <si>
    <t>APRIL</t>
  </si>
  <si>
    <t>MAY</t>
  </si>
  <si>
    <t>JUNE</t>
  </si>
  <si>
    <t>JULY</t>
  </si>
  <si>
    <t>AUGUST</t>
  </si>
  <si>
    <t>SEPT</t>
  </si>
  <si>
    <t>TOTAL</t>
  </si>
  <si>
    <t>DATE</t>
  </si>
  <si>
    <t>24/8/2021</t>
  </si>
  <si>
    <t>YEILD</t>
  </si>
  <si>
    <t>25/8/2021</t>
  </si>
  <si>
    <t>26/8/2021</t>
  </si>
  <si>
    <t>27/8/2021</t>
  </si>
  <si>
    <t>31/8/2021</t>
  </si>
  <si>
    <t>MAR</t>
  </si>
  <si>
    <t>APR</t>
  </si>
  <si>
    <t>AUG</t>
  </si>
  <si>
    <t>SEP</t>
  </si>
  <si>
    <t>15/9/2021</t>
  </si>
  <si>
    <t>16/9/2021</t>
  </si>
  <si>
    <t>17/9/2021</t>
  </si>
  <si>
    <t>pos</t>
  </si>
  <si>
    <t>neg</t>
  </si>
  <si>
    <t>total</t>
  </si>
  <si>
    <t>yield</t>
  </si>
  <si>
    <t>CSN MONTHLY REPORT</t>
  </si>
  <si>
    <t>CSN DAILY REPORT</t>
  </si>
  <si>
    <t>WEEK</t>
  </si>
  <si>
    <t>POS</t>
  </si>
  <si>
    <t>NEG</t>
  </si>
  <si>
    <t>WEEKLY REPORT</t>
  </si>
  <si>
    <t>DAILY REPORT</t>
  </si>
  <si>
    <t>MONTHLY REPORT</t>
  </si>
  <si>
    <t>YEARLY SUMMARY</t>
  </si>
  <si>
    <t>MONTHLY  SUMMARY</t>
  </si>
  <si>
    <t>,</t>
  </si>
  <si>
    <t>21/9/2021</t>
  </si>
  <si>
    <t>22/9/2021</t>
  </si>
  <si>
    <t>23/9/2021</t>
  </si>
  <si>
    <t>24/9/2021</t>
  </si>
  <si>
    <t>27/9/2021</t>
  </si>
  <si>
    <t>28/9/2021</t>
  </si>
  <si>
    <t>29/9/2021</t>
  </si>
  <si>
    <t>30/9/2021</t>
  </si>
  <si>
    <t>13/10/2021</t>
  </si>
  <si>
    <t>14/10/2021</t>
  </si>
  <si>
    <t>15/10/2021</t>
  </si>
  <si>
    <t xml:space="preserve">WEEKLY </t>
  </si>
  <si>
    <t>18/10/2021</t>
  </si>
  <si>
    <t>19/10/2021</t>
  </si>
  <si>
    <t>20/10/2021</t>
  </si>
  <si>
    <t>21/10/2021</t>
  </si>
  <si>
    <t>22/10/2021</t>
  </si>
  <si>
    <t>25/10/2021</t>
  </si>
  <si>
    <t>26/10/2021</t>
  </si>
  <si>
    <t>27/10/2021</t>
  </si>
  <si>
    <t>28/10/2021</t>
  </si>
  <si>
    <t>29/10/2021</t>
  </si>
  <si>
    <t>FY 21</t>
  </si>
  <si>
    <t>FY 22</t>
  </si>
  <si>
    <t>15/11/2021</t>
  </si>
  <si>
    <t>16/11/2021</t>
  </si>
  <si>
    <t>17/11/2021</t>
  </si>
  <si>
    <t>18/11/2021</t>
  </si>
  <si>
    <t>19/11/2021</t>
  </si>
  <si>
    <t>22/11/2021</t>
  </si>
  <si>
    <t>23/11/2021</t>
  </si>
  <si>
    <t>24/11/2021</t>
  </si>
  <si>
    <t>25/11/2021</t>
  </si>
  <si>
    <t>26/11/2021</t>
  </si>
  <si>
    <t>29/11/2021</t>
  </si>
  <si>
    <t>30/11/2021</t>
  </si>
  <si>
    <t>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</si>
</sst>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/>
    <xf numFmtId="9" fontId="0" fillId="0" borderId="0" xfId="1" applyFont="1"/>
    <xf numFmtId="14" fontId="0" fillId="0" borderId="0" xfId="0" applyNumberFormat="1"/>
    <xf numFmtId="0" fontId="0" fillId="0" borderId="0" xfId="0" applyFont="1"/>
    <xf numFmtId="14" fontId="0" fillId="0" borderId="0" xfId="0" applyNumberFormat="1" applyFont="1"/>
    <xf numFmtId="9" fontId="0" fillId="0" borderId="0" xfId="0" applyNumberFormat="1"/>
    <xf numFmtId="0" fontId="2" fillId="5" borderId="0" xfId="0" applyFont="1" applyFill="1"/>
    <xf numFmtId="9" fontId="2" fillId="5" borderId="0" xfId="1" applyFont="1" applyFill="1"/>
    <xf numFmtId="0" fontId="4" fillId="5" borderId="0" xfId="0" applyFont="1" applyFill="1"/>
    <xf numFmtId="0" fontId="5" fillId="6" borderId="0" xfId="0" applyFont="1" applyFill="1"/>
    <xf numFmtId="0" fontId="0" fillId="6" borderId="0" xfId="0" applyFill="1"/>
    <xf numFmtId="0" fontId="2" fillId="7" borderId="0" xfId="0" applyFont="1" applyFill="1"/>
    <xf numFmtId="0" fontId="2" fillId="8" borderId="0" xfId="0" applyFont="1" applyFill="1"/>
    <xf numFmtId="0" fontId="0" fillId="9" borderId="0" xfId="0" applyFill="1"/>
    <xf numFmtId="9" fontId="0" fillId="0" borderId="0" xfId="1" applyNumberFormat="1" applyFont="1"/>
    <xf numFmtId="9" fontId="2" fillId="7" borderId="0" xfId="1" applyFont="1" applyFill="1"/>
    <xf numFmtId="0" fontId="2" fillId="2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33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SUMMARY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 BOARD'!$G$3:$H$3</c:f>
              <c:strCache>
                <c:ptCount val="2"/>
                <c:pt idx="0">
                  <c:v>2020</c:v>
                </c:pt>
                <c:pt idx="1">
                  <c:v>OCT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'DASH BOARD'!$I$2:$L$2</c15:sqref>
                  </c15:fullRef>
                </c:ext>
              </c:extLst>
              <c:f>'DASH BOARD'!$I$2:$J$2</c:f>
              <c:strCache>
                <c:ptCount val="2"/>
                <c:pt idx="0">
                  <c:v>POSITIVE</c:v>
                </c:pt>
                <c:pt idx="1">
                  <c:v>NEGATIVE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'DASH BOARD'!$I$3:$L$3</c15:sqref>
                  </c15:fullRef>
                </c:ext>
              </c:extLst>
              <c:f>'DASH BOARD'!$I$3:$J$3</c:f>
              <c:numCache>
                <c:formatCode>General</c:formatCode>
                <c:ptCount val="2"/>
                <c:pt idx="0">
                  <c:v>48</c:v>
                </c:pt>
                <c:pt idx="1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A5-42C8-902E-E18023AACCBF}"/>
            </c:ext>
          </c:extLst>
        </c:ser>
        <c:ser>
          <c:idx val="1"/>
          <c:order val="1"/>
          <c:tx>
            <c:strRef>
              <c:f>'DASH BOARD'!$G$4:$H$4</c:f>
              <c:strCache>
                <c:ptCount val="2"/>
                <c:pt idx="0">
                  <c:v>2020</c:v>
                </c:pt>
                <c:pt idx="1">
                  <c:v>NOV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'DASH BOARD'!$I$2:$L$2</c15:sqref>
                  </c15:fullRef>
                </c:ext>
              </c:extLst>
              <c:f>'DASH BOARD'!$I$2:$J$2</c:f>
              <c:strCache>
                <c:ptCount val="2"/>
                <c:pt idx="0">
                  <c:v>POSITIVE</c:v>
                </c:pt>
                <c:pt idx="1">
                  <c:v>NEGATIVE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'DASH BOARD'!$I$4:$L$4</c15:sqref>
                  </c15:fullRef>
                </c:ext>
              </c:extLst>
              <c:f>'DASH BOARD'!$I$4:$J$4</c:f>
              <c:numCache>
                <c:formatCode>General</c:formatCode>
                <c:ptCount val="2"/>
                <c:pt idx="0">
                  <c:v>84</c:v>
                </c:pt>
                <c:pt idx="1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A5-42C8-902E-E18023AACCBF}"/>
            </c:ext>
          </c:extLst>
        </c:ser>
        <c:ser>
          <c:idx val="2"/>
          <c:order val="2"/>
          <c:tx>
            <c:strRef>
              <c:f>'DASH BOARD'!$G$5:$H$5</c:f>
              <c:strCache>
                <c:ptCount val="2"/>
                <c:pt idx="0">
                  <c:v>2020</c:v>
                </c:pt>
                <c:pt idx="1">
                  <c:v>DEC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'DASH BOARD'!$I$2:$L$2</c15:sqref>
                  </c15:fullRef>
                </c:ext>
              </c:extLst>
              <c:f>'DASH BOARD'!$I$2:$J$2</c:f>
              <c:strCache>
                <c:ptCount val="2"/>
                <c:pt idx="0">
                  <c:v>POSITIVE</c:v>
                </c:pt>
                <c:pt idx="1">
                  <c:v>NEGATIVE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'DASH BOARD'!$I$5:$L$5</c15:sqref>
                  </c15:fullRef>
                </c:ext>
              </c:extLst>
              <c:f>'DASH BOARD'!$I$5:$J$5</c:f>
              <c:numCache>
                <c:formatCode>General</c:formatCode>
                <c:ptCount val="2"/>
                <c:pt idx="0">
                  <c:v>109</c:v>
                </c:pt>
                <c:pt idx="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FA5-42C8-902E-E18023AACCBF}"/>
            </c:ext>
          </c:extLst>
        </c:ser>
        <c:ser>
          <c:idx val="3"/>
          <c:order val="3"/>
          <c:tx>
            <c:strRef>
              <c:f>'DASH BOARD'!$G$6:$H$6</c:f>
              <c:strCache>
                <c:ptCount val="2"/>
                <c:pt idx="0">
                  <c:v>2021</c:v>
                </c:pt>
                <c:pt idx="1">
                  <c:v>JAN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'DASH BOARD'!$I$2:$L$2</c15:sqref>
                  </c15:fullRef>
                </c:ext>
              </c:extLst>
              <c:f>'DASH BOARD'!$I$2:$J$2</c:f>
              <c:strCache>
                <c:ptCount val="2"/>
                <c:pt idx="0">
                  <c:v>POSITIVE</c:v>
                </c:pt>
                <c:pt idx="1">
                  <c:v>NEGATIVE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'DASH BOARD'!$I$6:$L$6</c15:sqref>
                  </c15:fullRef>
                </c:ext>
              </c:extLst>
              <c:f>'DASH BOARD'!$I$6:$J$6</c:f>
              <c:numCache>
                <c:formatCode>General</c:formatCode>
                <c:ptCount val="2"/>
                <c:pt idx="0">
                  <c:v>256</c:v>
                </c:pt>
                <c:pt idx="1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FA5-42C8-902E-E18023AACCBF}"/>
            </c:ext>
          </c:extLst>
        </c:ser>
        <c:ser>
          <c:idx val="4"/>
          <c:order val="4"/>
          <c:tx>
            <c:strRef>
              <c:f>'DASH BOARD'!$G$7:$H$7</c:f>
              <c:strCache>
                <c:ptCount val="2"/>
                <c:pt idx="0">
                  <c:v>2021</c:v>
                </c:pt>
                <c:pt idx="1">
                  <c:v>FEB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'DASH BOARD'!$I$2:$L$2</c15:sqref>
                  </c15:fullRef>
                </c:ext>
              </c:extLst>
              <c:f>'DASH BOARD'!$I$2:$J$2</c:f>
              <c:strCache>
                <c:ptCount val="2"/>
                <c:pt idx="0">
                  <c:v>POSITIVE</c:v>
                </c:pt>
                <c:pt idx="1">
                  <c:v>NEGATIVE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'DASH BOARD'!$I$7:$L$7</c15:sqref>
                  </c15:fullRef>
                </c:ext>
              </c:extLst>
              <c:f>'DASH BOARD'!$I$7:$J$7</c:f>
              <c:numCache>
                <c:formatCode>General</c:formatCode>
                <c:ptCount val="2"/>
                <c:pt idx="0">
                  <c:v>418</c:v>
                </c:pt>
                <c:pt idx="1">
                  <c:v>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FA5-42C8-902E-E18023AACCBF}"/>
            </c:ext>
          </c:extLst>
        </c:ser>
        <c:ser>
          <c:idx val="5"/>
          <c:order val="5"/>
          <c:tx>
            <c:strRef>
              <c:f>'DASH BOARD'!$G$8:$H$8</c:f>
              <c:strCache>
                <c:ptCount val="2"/>
                <c:pt idx="0">
                  <c:v>2021</c:v>
                </c:pt>
                <c:pt idx="1">
                  <c:v>MAR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'DASH BOARD'!$I$2:$L$2</c15:sqref>
                  </c15:fullRef>
                </c:ext>
              </c:extLst>
              <c:f>'DASH BOARD'!$I$2:$J$2</c:f>
              <c:strCache>
                <c:ptCount val="2"/>
                <c:pt idx="0">
                  <c:v>POSITIVE</c:v>
                </c:pt>
                <c:pt idx="1">
                  <c:v>NEGATIVE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'DASH BOARD'!$I$8:$L$8</c15:sqref>
                  </c15:fullRef>
                </c:ext>
              </c:extLst>
              <c:f>'DASH BOARD'!$I$8:$J$8</c:f>
              <c:numCache>
                <c:formatCode>General</c:formatCode>
                <c:ptCount val="2"/>
                <c:pt idx="0">
                  <c:v>507</c:v>
                </c:pt>
                <c:pt idx="1">
                  <c:v>1577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FA5-42C8-902E-E18023AACCBF}"/>
            </c:ext>
          </c:extLst>
        </c:ser>
        <c:ser>
          <c:idx val="6"/>
          <c:order val="6"/>
          <c:tx>
            <c:strRef>
              <c:f>'DASH BOARD'!$G$9:$H$9</c:f>
              <c:strCache>
                <c:ptCount val="2"/>
                <c:pt idx="0">
                  <c:v>2021</c:v>
                </c:pt>
                <c:pt idx="1">
                  <c:v>APR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'DASH BOARD'!$I$2:$L$2</c15:sqref>
                  </c15:fullRef>
                </c:ext>
              </c:extLst>
              <c:f>'DASH BOARD'!$I$2:$J$2</c:f>
              <c:strCache>
                <c:ptCount val="2"/>
                <c:pt idx="0">
                  <c:v>POSITIVE</c:v>
                </c:pt>
                <c:pt idx="1">
                  <c:v>NEGATIVE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'DASH BOARD'!$I$9:$L$9</c15:sqref>
                  </c15:fullRef>
                </c:ext>
              </c:extLst>
              <c:f>'DASH BOARD'!$I$9:$J$9</c:f>
              <c:numCache>
                <c:formatCode>General</c:formatCode>
                <c:ptCount val="2"/>
                <c:pt idx="0">
                  <c:v>454</c:v>
                </c:pt>
                <c:pt idx="1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FA5-42C8-902E-E18023AACCBF}"/>
            </c:ext>
          </c:extLst>
        </c:ser>
        <c:ser>
          <c:idx val="7"/>
          <c:order val="7"/>
          <c:tx>
            <c:strRef>
              <c:f>'DASH BOARD'!$G$10:$H$10</c:f>
              <c:strCache>
                <c:ptCount val="2"/>
                <c:pt idx="0">
                  <c:v>2021</c:v>
                </c:pt>
                <c:pt idx="1">
                  <c:v>MAY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'DASH BOARD'!$I$2:$L$2</c15:sqref>
                  </c15:fullRef>
                </c:ext>
              </c:extLst>
              <c:f>'DASH BOARD'!$I$2:$J$2</c:f>
              <c:strCache>
                <c:ptCount val="2"/>
                <c:pt idx="0">
                  <c:v>POSITIVE</c:v>
                </c:pt>
                <c:pt idx="1">
                  <c:v>NEGATIVE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'DASH BOARD'!$I$10:$L$10</c15:sqref>
                  </c15:fullRef>
                </c:ext>
              </c:extLst>
              <c:f>'DASH BOARD'!$I$10:$J$10</c:f>
              <c:numCache>
                <c:formatCode>General</c:formatCode>
                <c:ptCount val="2"/>
                <c:pt idx="0">
                  <c:v>155</c:v>
                </c:pt>
                <c:pt idx="1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FA5-42C8-902E-E18023AACCBF}"/>
            </c:ext>
          </c:extLst>
        </c:ser>
        <c:ser>
          <c:idx val="8"/>
          <c:order val="8"/>
          <c:tx>
            <c:strRef>
              <c:f>'DASH BOARD'!$G$11:$H$11</c:f>
              <c:strCache>
                <c:ptCount val="2"/>
                <c:pt idx="0">
                  <c:v>2021</c:v>
                </c:pt>
                <c:pt idx="1">
                  <c:v>JUNE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'DASH BOARD'!$I$2:$L$2</c15:sqref>
                  </c15:fullRef>
                </c:ext>
              </c:extLst>
              <c:f>'DASH BOARD'!$I$2:$J$2</c:f>
              <c:strCache>
                <c:ptCount val="2"/>
                <c:pt idx="0">
                  <c:v>POSITIVE</c:v>
                </c:pt>
                <c:pt idx="1">
                  <c:v>NEGATIVE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'DASH BOARD'!$I$11:$L$11</c15:sqref>
                  </c15:fullRef>
                </c:ext>
              </c:extLst>
              <c:f>'DASH BOARD'!$I$11:$J$11</c:f>
              <c:numCache>
                <c:formatCode>General</c:formatCode>
                <c:ptCount val="2"/>
                <c:pt idx="0">
                  <c:v>521</c:v>
                </c:pt>
                <c:pt idx="1">
                  <c:v>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FA5-42C8-902E-E18023AACCBF}"/>
            </c:ext>
          </c:extLst>
        </c:ser>
        <c:ser>
          <c:idx val="9"/>
          <c:order val="9"/>
          <c:tx>
            <c:strRef>
              <c:f>'DASH BOARD'!$G$12:$H$12</c:f>
              <c:strCache>
                <c:ptCount val="2"/>
                <c:pt idx="0">
                  <c:v>2021</c:v>
                </c:pt>
                <c:pt idx="1">
                  <c:v>JULY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'DASH BOARD'!$I$2:$L$2</c15:sqref>
                  </c15:fullRef>
                </c:ext>
              </c:extLst>
              <c:f>'DASH BOARD'!$I$2:$J$2</c:f>
              <c:strCache>
                <c:ptCount val="2"/>
                <c:pt idx="0">
                  <c:v>POSITIVE</c:v>
                </c:pt>
                <c:pt idx="1">
                  <c:v>NEGATIVE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'DASH BOARD'!$I$12:$L$12</c15:sqref>
                  </c15:fullRef>
                </c:ext>
              </c:extLst>
              <c:f>'DASH BOARD'!$I$12:$J$12</c:f>
              <c:numCache>
                <c:formatCode>General</c:formatCode>
                <c:ptCount val="2"/>
                <c:pt idx="0">
                  <c:v>470</c:v>
                </c:pt>
                <c:pt idx="1">
                  <c:v>2178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FA5-42C8-902E-E18023AACCBF}"/>
            </c:ext>
          </c:extLst>
        </c:ser>
        <c:ser>
          <c:idx val="10"/>
          <c:order val="10"/>
          <c:tx>
            <c:strRef>
              <c:f>'DASH BOARD'!$G$13:$H$13</c:f>
              <c:strCache>
                <c:ptCount val="2"/>
                <c:pt idx="0">
                  <c:v>2021</c:v>
                </c:pt>
                <c:pt idx="1">
                  <c:v>AUG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'DASH BOARD'!$I$2:$L$2</c15:sqref>
                  </c15:fullRef>
                </c:ext>
              </c:extLst>
              <c:f>'DASH BOARD'!$I$2:$J$2</c:f>
              <c:strCache>
                <c:ptCount val="2"/>
                <c:pt idx="0">
                  <c:v>POSITIVE</c:v>
                </c:pt>
                <c:pt idx="1">
                  <c:v>NEGATIVE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'DASH BOARD'!$I$13:$L$13</c15:sqref>
                  </c15:fullRef>
                </c:ext>
              </c:extLst>
              <c:f>'DASH BOARD'!$I$13:$J$13</c:f>
              <c:numCache>
                <c:formatCode>General</c:formatCode>
                <c:ptCount val="2"/>
                <c:pt idx="0">
                  <c:v>256</c:v>
                </c:pt>
                <c:pt idx="1">
                  <c:v>2127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FA5-42C8-902E-E18023AACCBF}"/>
            </c:ext>
          </c:extLst>
        </c:ser>
        <c:ser>
          <c:idx val="11"/>
          <c:order val="11"/>
          <c:tx>
            <c:strRef>
              <c:f>'DASH BOARD'!$G$14:$H$14</c:f>
              <c:strCache>
                <c:ptCount val="2"/>
                <c:pt idx="0">
                  <c:v>2021</c:v>
                </c:pt>
                <c:pt idx="1">
                  <c:v>SEP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'DASH BOARD'!$I$2:$L$2</c15:sqref>
                  </c15:fullRef>
                </c:ext>
              </c:extLst>
              <c:f>'DASH BOARD'!$I$2:$J$2</c:f>
              <c:strCache>
                <c:ptCount val="2"/>
                <c:pt idx="0">
                  <c:v>POSITIVE</c:v>
                </c:pt>
                <c:pt idx="1">
                  <c:v>NEGATIVE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'DASH BOARD'!$I$14:$L$14</c15:sqref>
                  </c15:fullRef>
                </c:ext>
              </c:extLst>
              <c:f>'DASH BOARD'!$I$14:$J$14</c:f>
              <c:numCache>
                <c:formatCode>General</c:formatCode>
                <c:ptCount val="2"/>
                <c:pt idx="0">
                  <c:v>399</c:v>
                </c:pt>
                <c:pt idx="1">
                  <c:v>4298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5FA5-42C8-902E-E18023AACCB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625550408"/>
        <c:axId val="625552048"/>
        <c:extLst>
          <c:ext xmlns:c15="http://schemas.microsoft.com/office/drawing/2012/chart" uri="{02D57815-91ED-43cb-92C2-25804820EDAC}">
            <c15:filteredBarSeries>
              <c15:ser>
                <c:idx val="12"/>
                <c:order val="12"/>
                <c:tx>
                  <c:strRef>
                    <c:extLst>
                      <c:ext uri="{02D57815-91ED-43cb-92C2-25804820EDAC}">
                        <c15:formulaRef>
                          <c15:sqref>'DASH BOARD'!$G$15:$H$15</c15:sqref>
                        </c15:formulaRef>
                      </c:ext>
                    </c:extLst>
                    <c:strCache>
                      <c:ptCount val="2"/>
                      <c:pt idx="0">
                        <c:v>2021</c:v>
                      </c:pt>
                      <c:pt idx="1">
                        <c:v>OCT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lumMod val="80000"/>
                          <a:lumOff val="2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lumMod val="80000"/>
                          <a:lumOff val="2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80000"/>
                          <a:lumOff val="2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'DASH BOARD'!$I$2:$L$2</c15:sqref>
                        </c15:fullRef>
                        <c15:formulaRef>
                          <c15:sqref>'DASH BOARD'!$I$2:$J$2</c15:sqref>
                        </c15:formulaRef>
                      </c:ext>
                    </c:extLst>
                    <c:strCache>
                      <c:ptCount val="2"/>
                      <c:pt idx="0">
                        <c:v>POSITIVE</c:v>
                      </c:pt>
                      <c:pt idx="1">
                        <c:v>NEGATIVE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'DASH BOARD'!$I$15:$L$15</c15:sqref>
                        </c15:fullRef>
                        <c15:formulaRef>
                          <c15:sqref>'DASH BOARD'!$I$15:$J$15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186</c:v>
                      </c:pt>
                      <c:pt idx="1">
                        <c:v>2039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C-5FA5-42C8-902E-E18023AACCBF}"/>
                  </c:ext>
                </c:extLst>
              </c15:ser>
            </c15:filteredBarSeries>
            <c15:filteredB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'DASH BOARD'!$G$16:$H$16</c15:sqref>
                        </c15:formulaRef>
                      </c:ext>
                    </c:extLst>
                    <c:strCache>
                      <c:ptCount val="2"/>
                      <c:pt idx="0">
                        <c:v>2021</c:v>
                      </c:pt>
                      <c:pt idx="1">
                        <c:v>NOV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lumMod val="80000"/>
                          <a:lumOff val="2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lumMod val="80000"/>
                          <a:lumOff val="2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80000"/>
                          <a:lumOff val="2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'DASH BOARD'!$I$2:$L$2</c15:sqref>
                        </c15:fullRef>
                        <c15:formulaRef>
                          <c15:sqref>'DASH BOARD'!$I$2:$J$2</c15:sqref>
                        </c15:formulaRef>
                      </c:ext>
                    </c:extLst>
                    <c:strCache>
                      <c:ptCount val="2"/>
                      <c:pt idx="0">
                        <c:v>POSITIVE</c:v>
                      </c:pt>
                      <c:pt idx="1">
                        <c:v>NEGATIVE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'DASH BOARD'!$I$16:$L$16</c15:sqref>
                        </c15:fullRef>
                        <c15:formulaRef>
                          <c15:sqref>'DASH BOARD'!$I$16:$J$16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5FA5-42C8-902E-E18023AACCBF}"/>
                  </c:ext>
                </c:extLst>
              </c15:ser>
            </c15:filteredBarSeries>
            <c15:filteredBa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'DASH BOARD'!$G$17:$H$17</c15:sqref>
                        </c15:formulaRef>
                      </c:ext>
                    </c:extLst>
                    <c:strCache>
                      <c:ptCount val="2"/>
                      <c:pt idx="0">
                        <c:v>2021</c:v>
                      </c:pt>
                      <c:pt idx="1">
                        <c:v>DEC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lumMod val="80000"/>
                          <a:lumOff val="2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3">
                          <a:lumMod val="80000"/>
                          <a:lumOff val="2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3">
                          <a:lumMod val="80000"/>
                          <a:lumOff val="2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'DASH BOARD'!$I$2:$L$2</c15:sqref>
                        </c15:fullRef>
                        <c15:formulaRef>
                          <c15:sqref>'DASH BOARD'!$I$2:$J$2</c15:sqref>
                        </c15:formulaRef>
                      </c:ext>
                    </c:extLst>
                    <c:strCache>
                      <c:ptCount val="2"/>
                      <c:pt idx="0">
                        <c:v>POSITIVE</c:v>
                      </c:pt>
                      <c:pt idx="1">
                        <c:v>NEGATIVE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'DASH BOARD'!$I$17:$L$17</c15:sqref>
                        </c15:fullRef>
                        <c15:formulaRef>
                          <c15:sqref>'DASH BOARD'!$I$17:$J$17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5FA5-42C8-902E-E18023AACCBF}"/>
                  </c:ext>
                </c:extLst>
              </c15:ser>
            </c15:filteredBarSeries>
          </c:ext>
        </c:extLst>
      </c:barChart>
      <c:catAx>
        <c:axId val="625550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552048"/>
        <c:crosses val="autoZero"/>
        <c:auto val="1"/>
        <c:lblAlgn val="ctr"/>
        <c:lblOffset val="100"/>
        <c:noMultiLvlLbl val="0"/>
      </c:catAx>
      <c:valAx>
        <c:axId val="62555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550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 BOARD'!$N$3</c:f>
              <c:strCache>
                <c:ptCount val="1"/>
                <c:pt idx="0">
                  <c:v>FY 21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'DASH BOARD'!$O$1:$R$2</c:f>
              <c:strCache>
                <c:ptCount val="4"/>
                <c:pt idx="0">
                  <c:v>POS</c:v>
                </c:pt>
                <c:pt idx="1">
                  <c:v>NEG</c:v>
                </c:pt>
                <c:pt idx="2">
                  <c:v>TOTAL</c:v>
                </c:pt>
                <c:pt idx="3">
                  <c:v>YEILD</c:v>
                </c:pt>
              </c:strCache>
            </c:strRef>
          </c:cat>
          <c:val>
            <c:numRef>
              <c:f>'DASH BOARD'!$O$3:$R$3</c:f>
              <c:numCache>
                <c:formatCode>General</c:formatCode>
                <c:ptCount val="4"/>
                <c:pt idx="0">
                  <c:v>3677</c:v>
                </c:pt>
                <c:pt idx="1">
                  <c:v>12064</c:v>
                </c:pt>
                <c:pt idx="2">
                  <c:v>15741</c:v>
                </c:pt>
                <c:pt idx="3" formatCode="0%">
                  <c:v>0.23359379963153548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FA-4015-8EE4-C85A7CD8E45C}"/>
            </c:ext>
          </c:extLst>
        </c:ser>
        <c:ser>
          <c:idx val="1"/>
          <c:order val="1"/>
          <c:tx>
            <c:strRef>
              <c:f>'DASH BOARD'!$N$4</c:f>
              <c:strCache>
                <c:ptCount val="1"/>
                <c:pt idx="0">
                  <c:v>FY 22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'DASH BOARD'!$O$1:$R$2</c:f>
              <c:strCache>
                <c:ptCount val="4"/>
                <c:pt idx="0">
                  <c:v>POS</c:v>
                </c:pt>
                <c:pt idx="1">
                  <c:v>NEG</c:v>
                </c:pt>
                <c:pt idx="2">
                  <c:v>TOTAL</c:v>
                </c:pt>
                <c:pt idx="3">
                  <c:v>YEILD</c:v>
                </c:pt>
              </c:strCache>
            </c:strRef>
          </c:cat>
          <c:val>
            <c:numRef>
              <c:f>'DASH BOARD'!$O$4:$R$4</c:f>
              <c:numCache>
                <c:formatCode>General</c:formatCode>
                <c:ptCount val="4"/>
                <c:pt idx="0">
                  <c:v>186</c:v>
                </c:pt>
                <c:pt idx="1">
                  <c:v>2039</c:v>
                </c:pt>
                <c:pt idx="2">
                  <c:v>2225</c:v>
                </c:pt>
                <c:pt idx="3" formatCode="0%">
                  <c:v>8.3595505617977531E-2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FA-4015-8EE4-C85A7CD8E4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7161112"/>
        <c:axId val="477154224"/>
      </c:barChart>
      <c:catAx>
        <c:axId val="477161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154224"/>
        <c:crosses val="autoZero"/>
        <c:auto val="1"/>
        <c:lblAlgn val="ctr"/>
        <c:lblOffset val="100"/>
        <c:noMultiLvlLbl val="0"/>
      </c:catAx>
      <c:valAx>
        <c:axId val="47715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161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YEARLY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 BOARD'!$N$3</c:f>
              <c:strCache>
                <c:ptCount val="1"/>
                <c:pt idx="0">
                  <c:v>FY 21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'DASH BOARD'!$O$1:$R$2</c:f>
              <c:strCache>
                <c:ptCount val="4"/>
                <c:pt idx="0">
                  <c:v>POS</c:v>
                </c:pt>
                <c:pt idx="1">
                  <c:v>NEG</c:v>
                </c:pt>
                <c:pt idx="2">
                  <c:v>TOTAL</c:v>
                </c:pt>
                <c:pt idx="3">
                  <c:v>YEILD</c:v>
                </c:pt>
              </c:strCache>
            </c:strRef>
          </c:cat>
          <c:val>
            <c:numRef>
              <c:f>'DASH BOARD'!$O$3:$R$3</c:f>
              <c:numCache>
                <c:formatCode>General</c:formatCode>
                <c:ptCount val="4"/>
                <c:pt idx="0">
                  <c:v>3677</c:v>
                </c:pt>
                <c:pt idx="1">
                  <c:v>12064</c:v>
                </c:pt>
                <c:pt idx="2">
                  <c:v>15741</c:v>
                </c:pt>
                <c:pt idx="3" formatCode="0%">
                  <c:v>0.23359379963153548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ED-4ADC-BCDD-8EE409E1D836}"/>
            </c:ext>
          </c:extLst>
        </c:ser>
        <c:ser>
          <c:idx val="1"/>
          <c:order val="1"/>
          <c:tx>
            <c:strRef>
              <c:f>'DASH BOARD'!$N$4</c:f>
              <c:strCache>
                <c:ptCount val="1"/>
                <c:pt idx="0">
                  <c:v>FY 22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'DASH BOARD'!$O$1:$R$2</c:f>
              <c:strCache>
                <c:ptCount val="4"/>
                <c:pt idx="0">
                  <c:v>POS</c:v>
                </c:pt>
                <c:pt idx="1">
                  <c:v>NEG</c:v>
                </c:pt>
                <c:pt idx="2">
                  <c:v>TOTAL</c:v>
                </c:pt>
                <c:pt idx="3">
                  <c:v>YEILD</c:v>
                </c:pt>
              </c:strCache>
            </c:strRef>
          </c:cat>
          <c:val>
            <c:numRef>
              <c:f>'DASH BOARD'!$O$4:$R$4</c:f>
              <c:numCache>
                <c:formatCode>General</c:formatCode>
                <c:ptCount val="4"/>
                <c:pt idx="0">
                  <c:v>186</c:v>
                </c:pt>
                <c:pt idx="1">
                  <c:v>2039</c:v>
                </c:pt>
                <c:pt idx="2">
                  <c:v>2225</c:v>
                </c:pt>
                <c:pt idx="3" formatCode="0%">
                  <c:v>8.3595505617977531E-2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ED-4ADC-BCDD-8EE409E1D83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77161112"/>
        <c:axId val="477154224"/>
      </c:barChart>
      <c:catAx>
        <c:axId val="477161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154224"/>
        <c:crosses val="autoZero"/>
        <c:auto val="1"/>
        <c:lblAlgn val="ctr"/>
        <c:lblOffset val="100"/>
        <c:noMultiLvlLbl val="0"/>
      </c:catAx>
      <c:valAx>
        <c:axId val="47715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161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SUMMARY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 BOARD'!$G$3:$H$3</c:f>
              <c:strCache>
                <c:ptCount val="2"/>
                <c:pt idx="0">
                  <c:v>2020</c:v>
                </c:pt>
                <c:pt idx="1">
                  <c:v>OCT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'DASH BOARD'!$I$2:$L$2</c15:sqref>
                  </c15:fullRef>
                </c:ext>
              </c:extLst>
              <c:f>'DASH BOARD'!$I$2:$J$2</c:f>
              <c:strCache>
                <c:ptCount val="2"/>
                <c:pt idx="0">
                  <c:v>POSITIVE</c:v>
                </c:pt>
                <c:pt idx="1">
                  <c:v>NEGATIVE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'DASH BOARD'!$I$3:$L$3</c15:sqref>
                  </c15:fullRef>
                </c:ext>
              </c:extLst>
              <c:f>'DASH BOARD'!$I$3:$J$3</c:f>
              <c:numCache>
                <c:formatCode>General</c:formatCode>
                <c:ptCount val="2"/>
                <c:pt idx="0">
                  <c:v>48</c:v>
                </c:pt>
                <c:pt idx="1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B5-4155-8657-0592E786172E}"/>
            </c:ext>
          </c:extLst>
        </c:ser>
        <c:ser>
          <c:idx val="1"/>
          <c:order val="1"/>
          <c:tx>
            <c:strRef>
              <c:f>'DASH BOARD'!$G$4:$H$4</c:f>
              <c:strCache>
                <c:ptCount val="2"/>
                <c:pt idx="0">
                  <c:v>2020</c:v>
                </c:pt>
                <c:pt idx="1">
                  <c:v>NOV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'DASH BOARD'!$I$2:$L$2</c15:sqref>
                  </c15:fullRef>
                </c:ext>
              </c:extLst>
              <c:f>'DASH BOARD'!$I$2:$J$2</c:f>
              <c:strCache>
                <c:ptCount val="2"/>
                <c:pt idx="0">
                  <c:v>POSITIVE</c:v>
                </c:pt>
                <c:pt idx="1">
                  <c:v>NEGATIVE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'DASH BOARD'!$I$4:$L$4</c15:sqref>
                  </c15:fullRef>
                </c:ext>
              </c:extLst>
              <c:f>'DASH BOARD'!$I$4:$J$4</c:f>
              <c:numCache>
                <c:formatCode>General</c:formatCode>
                <c:ptCount val="2"/>
                <c:pt idx="0">
                  <c:v>84</c:v>
                </c:pt>
                <c:pt idx="1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B5-4155-8657-0592E786172E}"/>
            </c:ext>
          </c:extLst>
        </c:ser>
        <c:ser>
          <c:idx val="2"/>
          <c:order val="2"/>
          <c:tx>
            <c:strRef>
              <c:f>'DASH BOARD'!$G$5:$H$5</c:f>
              <c:strCache>
                <c:ptCount val="2"/>
                <c:pt idx="0">
                  <c:v>2020</c:v>
                </c:pt>
                <c:pt idx="1">
                  <c:v>DEC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'DASH BOARD'!$I$2:$L$2</c15:sqref>
                  </c15:fullRef>
                </c:ext>
              </c:extLst>
              <c:f>'DASH BOARD'!$I$2:$J$2</c:f>
              <c:strCache>
                <c:ptCount val="2"/>
                <c:pt idx="0">
                  <c:v>POSITIVE</c:v>
                </c:pt>
                <c:pt idx="1">
                  <c:v>NEGATIVE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'DASH BOARD'!$I$5:$L$5</c15:sqref>
                  </c15:fullRef>
                </c:ext>
              </c:extLst>
              <c:f>'DASH BOARD'!$I$5:$J$5</c:f>
              <c:numCache>
                <c:formatCode>General</c:formatCode>
                <c:ptCount val="2"/>
                <c:pt idx="0">
                  <c:v>109</c:v>
                </c:pt>
                <c:pt idx="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B5-4155-8657-0592E786172E}"/>
            </c:ext>
          </c:extLst>
        </c:ser>
        <c:ser>
          <c:idx val="3"/>
          <c:order val="3"/>
          <c:tx>
            <c:strRef>
              <c:f>'DASH BOARD'!$G$6:$H$6</c:f>
              <c:strCache>
                <c:ptCount val="2"/>
                <c:pt idx="0">
                  <c:v>2021</c:v>
                </c:pt>
                <c:pt idx="1">
                  <c:v>JAN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'DASH BOARD'!$I$2:$L$2</c15:sqref>
                  </c15:fullRef>
                </c:ext>
              </c:extLst>
              <c:f>'DASH BOARD'!$I$2:$J$2</c:f>
              <c:strCache>
                <c:ptCount val="2"/>
                <c:pt idx="0">
                  <c:v>POSITIVE</c:v>
                </c:pt>
                <c:pt idx="1">
                  <c:v>NEGATIVE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'DASH BOARD'!$I$6:$L$6</c15:sqref>
                  </c15:fullRef>
                </c:ext>
              </c:extLst>
              <c:f>'DASH BOARD'!$I$6:$J$6</c:f>
              <c:numCache>
                <c:formatCode>General</c:formatCode>
                <c:ptCount val="2"/>
                <c:pt idx="0">
                  <c:v>256</c:v>
                </c:pt>
                <c:pt idx="1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FB5-4155-8657-0592E786172E}"/>
            </c:ext>
          </c:extLst>
        </c:ser>
        <c:ser>
          <c:idx val="4"/>
          <c:order val="4"/>
          <c:tx>
            <c:strRef>
              <c:f>'DASH BOARD'!$G$7:$H$7</c:f>
              <c:strCache>
                <c:ptCount val="2"/>
                <c:pt idx="0">
                  <c:v>2021</c:v>
                </c:pt>
                <c:pt idx="1">
                  <c:v>FEB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'DASH BOARD'!$I$2:$L$2</c15:sqref>
                  </c15:fullRef>
                </c:ext>
              </c:extLst>
              <c:f>'DASH BOARD'!$I$2:$J$2</c:f>
              <c:strCache>
                <c:ptCount val="2"/>
                <c:pt idx="0">
                  <c:v>POSITIVE</c:v>
                </c:pt>
                <c:pt idx="1">
                  <c:v>NEGATIVE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'DASH BOARD'!$I$7:$L$7</c15:sqref>
                  </c15:fullRef>
                </c:ext>
              </c:extLst>
              <c:f>'DASH BOARD'!$I$7:$J$7</c:f>
              <c:numCache>
                <c:formatCode>General</c:formatCode>
                <c:ptCount val="2"/>
                <c:pt idx="0">
                  <c:v>418</c:v>
                </c:pt>
                <c:pt idx="1">
                  <c:v>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FB5-4155-8657-0592E786172E}"/>
            </c:ext>
          </c:extLst>
        </c:ser>
        <c:ser>
          <c:idx val="5"/>
          <c:order val="5"/>
          <c:tx>
            <c:strRef>
              <c:f>'DASH BOARD'!$G$8:$H$8</c:f>
              <c:strCache>
                <c:ptCount val="2"/>
                <c:pt idx="0">
                  <c:v>2021</c:v>
                </c:pt>
                <c:pt idx="1">
                  <c:v>MAR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'DASH BOARD'!$I$2:$L$2</c15:sqref>
                  </c15:fullRef>
                </c:ext>
              </c:extLst>
              <c:f>'DASH BOARD'!$I$2:$J$2</c:f>
              <c:strCache>
                <c:ptCount val="2"/>
                <c:pt idx="0">
                  <c:v>POSITIVE</c:v>
                </c:pt>
                <c:pt idx="1">
                  <c:v>NEGATIVE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'DASH BOARD'!$I$8:$L$8</c15:sqref>
                  </c15:fullRef>
                </c:ext>
              </c:extLst>
              <c:f>'DASH BOARD'!$I$8:$J$8</c:f>
              <c:numCache>
                <c:formatCode>General</c:formatCode>
                <c:ptCount val="2"/>
                <c:pt idx="0">
                  <c:v>507</c:v>
                </c:pt>
                <c:pt idx="1">
                  <c:v>1577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FB5-4155-8657-0592E786172E}"/>
            </c:ext>
          </c:extLst>
        </c:ser>
        <c:ser>
          <c:idx val="6"/>
          <c:order val="6"/>
          <c:tx>
            <c:strRef>
              <c:f>'DASH BOARD'!$G$9:$H$9</c:f>
              <c:strCache>
                <c:ptCount val="2"/>
                <c:pt idx="0">
                  <c:v>2021</c:v>
                </c:pt>
                <c:pt idx="1">
                  <c:v>APR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'DASH BOARD'!$I$2:$L$2</c15:sqref>
                  </c15:fullRef>
                </c:ext>
              </c:extLst>
              <c:f>'DASH BOARD'!$I$2:$J$2</c:f>
              <c:strCache>
                <c:ptCount val="2"/>
                <c:pt idx="0">
                  <c:v>POSITIVE</c:v>
                </c:pt>
                <c:pt idx="1">
                  <c:v>NEGATIVE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'DASH BOARD'!$I$9:$L$9</c15:sqref>
                  </c15:fullRef>
                </c:ext>
              </c:extLst>
              <c:f>'DASH BOARD'!$I$9:$J$9</c:f>
              <c:numCache>
                <c:formatCode>General</c:formatCode>
                <c:ptCount val="2"/>
                <c:pt idx="0">
                  <c:v>454</c:v>
                </c:pt>
                <c:pt idx="1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FB5-4155-8657-0592E786172E}"/>
            </c:ext>
          </c:extLst>
        </c:ser>
        <c:ser>
          <c:idx val="7"/>
          <c:order val="7"/>
          <c:tx>
            <c:strRef>
              <c:f>'DASH BOARD'!$G$10:$H$10</c:f>
              <c:strCache>
                <c:ptCount val="2"/>
                <c:pt idx="0">
                  <c:v>2021</c:v>
                </c:pt>
                <c:pt idx="1">
                  <c:v>MAY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'DASH BOARD'!$I$2:$L$2</c15:sqref>
                  </c15:fullRef>
                </c:ext>
              </c:extLst>
              <c:f>'DASH BOARD'!$I$2:$J$2</c:f>
              <c:strCache>
                <c:ptCount val="2"/>
                <c:pt idx="0">
                  <c:v>POSITIVE</c:v>
                </c:pt>
                <c:pt idx="1">
                  <c:v>NEGATIVE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'DASH BOARD'!$I$10:$L$10</c15:sqref>
                  </c15:fullRef>
                </c:ext>
              </c:extLst>
              <c:f>'DASH BOARD'!$I$10:$J$10</c:f>
              <c:numCache>
                <c:formatCode>General</c:formatCode>
                <c:ptCount val="2"/>
                <c:pt idx="0">
                  <c:v>155</c:v>
                </c:pt>
                <c:pt idx="1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FB5-4155-8657-0592E786172E}"/>
            </c:ext>
          </c:extLst>
        </c:ser>
        <c:ser>
          <c:idx val="8"/>
          <c:order val="8"/>
          <c:tx>
            <c:strRef>
              <c:f>'DASH BOARD'!$G$11:$H$11</c:f>
              <c:strCache>
                <c:ptCount val="2"/>
                <c:pt idx="0">
                  <c:v>2021</c:v>
                </c:pt>
                <c:pt idx="1">
                  <c:v>JUNE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'DASH BOARD'!$I$2:$L$2</c15:sqref>
                  </c15:fullRef>
                </c:ext>
              </c:extLst>
              <c:f>'DASH BOARD'!$I$2:$J$2</c:f>
              <c:strCache>
                <c:ptCount val="2"/>
                <c:pt idx="0">
                  <c:v>POSITIVE</c:v>
                </c:pt>
                <c:pt idx="1">
                  <c:v>NEGATIVE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'DASH BOARD'!$I$11:$L$11</c15:sqref>
                  </c15:fullRef>
                </c:ext>
              </c:extLst>
              <c:f>'DASH BOARD'!$I$11:$J$11</c:f>
              <c:numCache>
                <c:formatCode>General</c:formatCode>
                <c:ptCount val="2"/>
                <c:pt idx="0">
                  <c:v>521</c:v>
                </c:pt>
                <c:pt idx="1">
                  <c:v>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FB5-4155-8657-0592E786172E}"/>
            </c:ext>
          </c:extLst>
        </c:ser>
        <c:ser>
          <c:idx val="9"/>
          <c:order val="9"/>
          <c:tx>
            <c:strRef>
              <c:f>'DASH BOARD'!$G$12:$H$12</c:f>
              <c:strCache>
                <c:ptCount val="2"/>
                <c:pt idx="0">
                  <c:v>2021</c:v>
                </c:pt>
                <c:pt idx="1">
                  <c:v>JULY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'DASH BOARD'!$I$2:$L$2</c15:sqref>
                  </c15:fullRef>
                </c:ext>
              </c:extLst>
              <c:f>'DASH BOARD'!$I$2:$J$2</c:f>
              <c:strCache>
                <c:ptCount val="2"/>
                <c:pt idx="0">
                  <c:v>POSITIVE</c:v>
                </c:pt>
                <c:pt idx="1">
                  <c:v>NEGATIVE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'DASH BOARD'!$I$12:$L$12</c15:sqref>
                  </c15:fullRef>
                </c:ext>
              </c:extLst>
              <c:f>'DASH BOARD'!$I$12:$J$12</c:f>
              <c:numCache>
                <c:formatCode>General</c:formatCode>
                <c:ptCount val="2"/>
                <c:pt idx="0">
                  <c:v>470</c:v>
                </c:pt>
                <c:pt idx="1">
                  <c:v>2178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FB5-4155-8657-0592E786172E}"/>
            </c:ext>
          </c:extLst>
        </c:ser>
        <c:ser>
          <c:idx val="10"/>
          <c:order val="10"/>
          <c:tx>
            <c:strRef>
              <c:f>'DASH BOARD'!$G$13:$H$13</c:f>
              <c:strCache>
                <c:ptCount val="2"/>
                <c:pt idx="0">
                  <c:v>2021</c:v>
                </c:pt>
                <c:pt idx="1">
                  <c:v>AUG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'DASH BOARD'!$I$2:$L$2</c15:sqref>
                  </c15:fullRef>
                </c:ext>
              </c:extLst>
              <c:f>'DASH BOARD'!$I$2:$J$2</c:f>
              <c:strCache>
                <c:ptCount val="2"/>
                <c:pt idx="0">
                  <c:v>POSITIVE</c:v>
                </c:pt>
                <c:pt idx="1">
                  <c:v>NEGATIVE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'DASH BOARD'!$I$13:$L$13</c15:sqref>
                  </c15:fullRef>
                </c:ext>
              </c:extLst>
              <c:f>'DASH BOARD'!$I$13:$J$13</c:f>
              <c:numCache>
                <c:formatCode>General</c:formatCode>
                <c:ptCount val="2"/>
                <c:pt idx="0">
                  <c:v>256</c:v>
                </c:pt>
                <c:pt idx="1">
                  <c:v>2127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FB5-4155-8657-0592E786172E}"/>
            </c:ext>
          </c:extLst>
        </c:ser>
        <c:ser>
          <c:idx val="11"/>
          <c:order val="11"/>
          <c:tx>
            <c:strRef>
              <c:f>'DASH BOARD'!$G$14:$H$14</c:f>
              <c:strCache>
                <c:ptCount val="2"/>
                <c:pt idx="0">
                  <c:v>2021</c:v>
                </c:pt>
                <c:pt idx="1">
                  <c:v>SEP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'DASH BOARD'!$I$2:$L$2</c15:sqref>
                  </c15:fullRef>
                </c:ext>
              </c:extLst>
              <c:f>'DASH BOARD'!$I$2:$J$2</c:f>
              <c:strCache>
                <c:ptCount val="2"/>
                <c:pt idx="0">
                  <c:v>POSITIVE</c:v>
                </c:pt>
                <c:pt idx="1">
                  <c:v>NEGATIVE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'DASH BOARD'!$I$14:$L$14</c15:sqref>
                  </c15:fullRef>
                </c:ext>
              </c:extLst>
              <c:f>'DASH BOARD'!$I$14:$J$14</c:f>
              <c:numCache>
                <c:formatCode>General</c:formatCode>
                <c:ptCount val="2"/>
                <c:pt idx="0">
                  <c:v>399</c:v>
                </c:pt>
                <c:pt idx="1">
                  <c:v>4298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FB5-4155-8657-0592E786172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625550408"/>
        <c:axId val="625552048"/>
        <c:extLst>
          <c:ext xmlns:c15="http://schemas.microsoft.com/office/drawing/2012/chart" uri="{02D57815-91ED-43cb-92C2-25804820EDAC}">
            <c15:filteredBarSeries>
              <c15:ser>
                <c:idx val="12"/>
                <c:order val="12"/>
                <c:tx>
                  <c:strRef>
                    <c:extLst>
                      <c:ext uri="{02D57815-91ED-43cb-92C2-25804820EDAC}">
                        <c15:formulaRef>
                          <c15:sqref>'DASH BOARD'!$G$15:$H$15</c15:sqref>
                        </c15:formulaRef>
                      </c:ext>
                    </c:extLst>
                    <c:strCache>
                      <c:ptCount val="2"/>
                      <c:pt idx="0">
                        <c:v>2021</c:v>
                      </c:pt>
                      <c:pt idx="1">
                        <c:v>OCT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lumMod val="80000"/>
                          <a:lumOff val="2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lumMod val="80000"/>
                          <a:lumOff val="2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80000"/>
                          <a:lumOff val="2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'DASH BOARD'!$I$2:$L$2</c15:sqref>
                        </c15:fullRef>
                        <c15:formulaRef>
                          <c15:sqref>'DASH BOARD'!$I$2:$J$2</c15:sqref>
                        </c15:formulaRef>
                      </c:ext>
                    </c:extLst>
                    <c:strCache>
                      <c:ptCount val="2"/>
                      <c:pt idx="0">
                        <c:v>POSITIVE</c:v>
                      </c:pt>
                      <c:pt idx="1">
                        <c:v>NEGATIVE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'DASH BOARD'!$I$15:$L$15</c15:sqref>
                        </c15:fullRef>
                        <c15:formulaRef>
                          <c15:sqref>'DASH BOARD'!$I$15:$J$15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186</c:v>
                      </c:pt>
                      <c:pt idx="1">
                        <c:v>2039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C-0FB5-4155-8657-0592E786172E}"/>
                  </c:ext>
                </c:extLst>
              </c15:ser>
            </c15:filteredBarSeries>
            <c15:filteredB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'DASH BOARD'!$G$16:$H$16</c15:sqref>
                        </c15:formulaRef>
                      </c:ext>
                    </c:extLst>
                    <c:strCache>
                      <c:ptCount val="2"/>
                      <c:pt idx="0">
                        <c:v>2021</c:v>
                      </c:pt>
                      <c:pt idx="1">
                        <c:v>NOV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lumMod val="80000"/>
                          <a:lumOff val="2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lumMod val="80000"/>
                          <a:lumOff val="2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80000"/>
                          <a:lumOff val="2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'DASH BOARD'!$I$2:$L$2</c15:sqref>
                        </c15:fullRef>
                        <c15:formulaRef>
                          <c15:sqref>'DASH BOARD'!$I$2:$J$2</c15:sqref>
                        </c15:formulaRef>
                      </c:ext>
                    </c:extLst>
                    <c:strCache>
                      <c:ptCount val="2"/>
                      <c:pt idx="0">
                        <c:v>POSITIVE</c:v>
                      </c:pt>
                      <c:pt idx="1">
                        <c:v>NEGATIVE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'DASH BOARD'!$I$16:$L$16</c15:sqref>
                        </c15:fullRef>
                        <c15:formulaRef>
                          <c15:sqref>'DASH BOARD'!$I$16:$J$16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0FB5-4155-8657-0592E786172E}"/>
                  </c:ext>
                </c:extLst>
              </c15:ser>
            </c15:filteredBarSeries>
            <c15:filteredBa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'DASH BOARD'!$G$17:$H$17</c15:sqref>
                        </c15:formulaRef>
                      </c:ext>
                    </c:extLst>
                    <c:strCache>
                      <c:ptCount val="2"/>
                      <c:pt idx="0">
                        <c:v>2021</c:v>
                      </c:pt>
                      <c:pt idx="1">
                        <c:v>DEC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lumMod val="80000"/>
                          <a:lumOff val="2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3">
                          <a:lumMod val="80000"/>
                          <a:lumOff val="2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3">
                          <a:lumMod val="80000"/>
                          <a:lumOff val="2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'DASH BOARD'!$I$2:$L$2</c15:sqref>
                        </c15:fullRef>
                        <c15:formulaRef>
                          <c15:sqref>'DASH BOARD'!$I$2:$J$2</c15:sqref>
                        </c15:formulaRef>
                      </c:ext>
                    </c:extLst>
                    <c:strCache>
                      <c:ptCount val="2"/>
                      <c:pt idx="0">
                        <c:v>POSITIVE</c:v>
                      </c:pt>
                      <c:pt idx="1">
                        <c:v>NEGATIVE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'DASH BOARD'!$I$17:$L$17</c15:sqref>
                        </c15:fullRef>
                        <c15:formulaRef>
                          <c15:sqref>'DASH BOARD'!$I$17:$J$17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0FB5-4155-8657-0592E786172E}"/>
                  </c:ext>
                </c:extLst>
              </c15:ser>
            </c15:filteredBarSeries>
          </c:ext>
        </c:extLst>
      </c:barChart>
      <c:catAx>
        <c:axId val="625550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552048"/>
        <c:crosses val="autoZero"/>
        <c:auto val="1"/>
        <c:lblAlgn val="ctr"/>
        <c:lblOffset val="100"/>
        <c:noMultiLvlLbl val="0"/>
      </c:catAx>
      <c:valAx>
        <c:axId val="62555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550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AKWAKUMA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'AKWAKUMA HTS'!$N$1:$N$2</c:f>
              <c:strCache>
                <c:ptCount val="2"/>
                <c:pt idx="0">
                  <c:v>CSN MONTHLY REPORT</c:v>
                </c:pt>
                <c:pt idx="1">
                  <c:v>POSITIVE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'AKWAKUMA HTS'!$L$3:$M$27</c15:sqref>
                  </c15:fullRef>
                  <c15:levelRef>
                    <c15:sqref>'AKWAKUMA HTS'!$M$3:$M$27</c15:sqref>
                  </c15:levelRef>
                </c:ext>
              </c:extLst>
              <c:f>'AKWAKUMA HTS'!$M$3:$M$27</c:f>
              <c:strCache>
                <c:ptCount val="2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MARCH</c:v>
                </c:pt>
                <c:pt idx="6">
                  <c:v>APRIL</c:v>
                </c:pt>
                <c:pt idx="7">
                  <c:v>MAY</c:v>
                </c:pt>
                <c:pt idx="8">
                  <c:v>JUNE</c:v>
                </c:pt>
                <c:pt idx="9">
                  <c:v>JULY</c:v>
                </c:pt>
                <c:pt idx="10">
                  <c:v>AUGUST</c:v>
                </c:pt>
                <c:pt idx="11">
                  <c:v>SEPT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  <c:pt idx="15">
                  <c:v>JAN</c:v>
                </c:pt>
                <c:pt idx="16">
                  <c:v>FEB</c:v>
                </c:pt>
                <c:pt idx="17">
                  <c:v>MARCH</c:v>
                </c:pt>
                <c:pt idx="18">
                  <c:v>APRIL</c:v>
                </c:pt>
                <c:pt idx="19">
                  <c:v>MAY</c:v>
                </c:pt>
                <c:pt idx="20">
                  <c:v>JUNE</c:v>
                </c:pt>
                <c:pt idx="21">
                  <c:v>JULY</c:v>
                </c:pt>
                <c:pt idx="22">
                  <c:v>AUGUST</c:v>
                </c:pt>
                <c:pt idx="23">
                  <c:v>SEPT</c:v>
                </c:pt>
              </c:strCache>
            </c:strRef>
          </c:cat>
          <c:val>
            <c:numRef>
              <c:f>'AKWAKUMA HTS'!$N$3:$N$27</c:f>
              <c:numCache>
                <c:formatCode>General</c:formatCode>
                <c:ptCount val="25"/>
                <c:pt idx="0">
                  <c:v>48</c:v>
                </c:pt>
                <c:pt idx="1">
                  <c:v>84</c:v>
                </c:pt>
                <c:pt idx="2">
                  <c:v>109</c:v>
                </c:pt>
                <c:pt idx="3">
                  <c:v>256</c:v>
                </c:pt>
                <c:pt idx="4">
                  <c:v>418</c:v>
                </c:pt>
                <c:pt idx="5">
                  <c:v>507</c:v>
                </c:pt>
                <c:pt idx="6">
                  <c:v>454</c:v>
                </c:pt>
                <c:pt idx="7">
                  <c:v>155</c:v>
                </c:pt>
                <c:pt idx="8">
                  <c:v>355</c:v>
                </c:pt>
                <c:pt idx="9">
                  <c:v>150</c:v>
                </c:pt>
                <c:pt idx="10">
                  <c:v>222</c:v>
                </c:pt>
                <c:pt idx="11">
                  <c:v>369</c:v>
                </c:pt>
                <c:pt idx="12">
                  <c:v>136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3263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CA-4FB3-BE73-8F1AEEF462DD}"/>
            </c:ext>
          </c:extLst>
        </c:ser>
        <c:ser>
          <c:idx val="1"/>
          <c:order val="1"/>
          <c:tx>
            <c:strRef>
              <c:f>'AKWAKUMA HTS'!$O$1:$O$2</c:f>
              <c:strCache>
                <c:ptCount val="2"/>
                <c:pt idx="0">
                  <c:v>CSN MONTHLY REPORT</c:v>
                </c:pt>
                <c:pt idx="1">
                  <c:v>NEGATIVE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'AKWAKUMA HTS'!$L$3:$M$27</c15:sqref>
                  </c15:fullRef>
                  <c15:levelRef>
                    <c15:sqref>'AKWAKUMA HTS'!$M$3:$M$27</c15:sqref>
                  </c15:levelRef>
                </c:ext>
              </c:extLst>
              <c:f>'AKWAKUMA HTS'!$M$3:$M$27</c:f>
              <c:strCache>
                <c:ptCount val="2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MARCH</c:v>
                </c:pt>
                <c:pt idx="6">
                  <c:v>APRIL</c:v>
                </c:pt>
                <c:pt idx="7">
                  <c:v>MAY</c:v>
                </c:pt>
                <c:pt idx="8">
                  <c:v>JUNE</c:v>
                </c:pt>
                <c:pt idx="9">
                  <c:v>JULY</c:v>
                </c:pt>
                <c:pt idx="10">
                  <c:v>AUGUST</c:v>
                </c:pt>
                <c:pt idx="11">
                  <c:v>SEPT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  <c:pt idx="15">
                  <c:v>JAN</c:v>
                </c:pt>
                <c:pt idx="16">
                  <c:v>FEB</c:v>
                </c:pt>
                <c:pt idx="17">
                  <c:v>MARCH</c:v>
                </c:pt>
                <c:pt idx="18">
                  <c:v>APRIL</c:v>
                </c:pt>
                <c:pt idx="19">
                  <c:v>MAY</c:v>
                </c:pt>
                <c:pt idx="20">
                  <c:v>JUNE</c:v>
                </c:pt>
                <c:pt idx="21">
                  <c:v>JULY</c:v>
                </c:pt>
                <c:pt idx="22">
                  <c:v>AUGUST</c:v>
                </c:pt>
                <c:pt idx="23">
                  <c:v>SEPT</c:v>
                </c:pt>
              </c:strCache>
            </c:strRef>
          </c:cat>
          <c:val>
            <c:numRef>
              <c:f>'AKWAKUMA HTS'!$O$3:$O$27</c:f>
              <c:numCache>
                <c:formatCode>General</c:formatCode>
                <c:ptCount val="25"/>
                <c:pt idx="0">
                  <c:v>61</c:v>
                </c:pt>
                <c:pt idx="1">
                  <c:v>96</c:v>
                </c:pt>
                <c:pt idx="2">
                  <c:v>11</c:v>
                </c:pt>
                <c:pt idx="3">
                  <c:v>109</c:v>
                </c:pt>
                <c:pt idx="4">
                  <c:v>956</c:v>
                </c:pt>
                <c:pt idx="5">
                  <c:v>1577</c:v>
                </c:pt>
                <c:pt idx="6">
                  <c:v>55</c:v>
                </c:pt>
                <c:pt idx="7">
                  <c:v>50</c:v>
                </c:pt>
                <c:pt idx="8">
                  <c:v>106</c:v>
                </c:pt>
                <c:pt idx="9">
                  <c:v>1291</c:v>
                </c:pt>
                <c:pt idx="10">
                  <c:v>1841</c:v>
                </c:pt>
                <c:pt idx="11">
                  <c:v>3976</c:v>
                </c:pt>
                <c:pt idx="12">
                  <c:v>1536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11665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CA-4FB3-BE73-8F1AEEF462DD}"/>
            </c:ext>
          </c:extLst>
        </c:ser>
        <c:ser>
          <c:idx val="2"/>
          <c:order val="2"/>
          <c:tx>
            <c:strRef>
              <c:f>'AKWAKUMA HTS'!$P$1:$P$2</c:f>
              <c:strCache>
                <c:ptCount val="2"/>
                <c:pt idx="0">
                  <c:v>CSN MONTHLY REPORT</c:v>
                </c:pt>
                <c:pt idx="1">
                  <c:v>TOTAL TESTED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'AKWAKUMA HTS'!$L$3:$M$27</c15:sqref>
                  </c15:fullRef>
                  <c15:levelRef>
                    <c15:sqref>'AKWAKUMA HTS'!$M$3:$M$27</c15:sqref>
                  </c15:levelRef>
                </c:ext>
              </c:extLst>
              <c:f>'AKWAKUMA HTS'!$M$3:$M$27</c:f>
              <c:strCache>
                <c:ptCount val="2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MARCH</c:v>
                </c:pt>
                <c:pt idx="6">
                  <c:v>APRIL</c:v>
                </c:pt>
                <c:pt idx="7">
                  <c:v>MAY</c:v>
                </c:pt>
                <c:pt idx="8">
                  <c:v>JUNE</c:v>
                </c:pt>
                <c:pt idx="9">
                  <c:v>JULY</c:v>
                </c:pt>
                <c:pt idx="10">
                  <c:v>AUGUST</c:v>
                </c:pt>
                <c:pt idx="11">
                  <c:v>SEPT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  <c:pt idx="15">
                  <c:v>JAN</c:v>
                </c:pt>
                <c:pt idx="16">
                  <c:v>FEB</c:v>
                </c:pt>
                <c:pt idx="17">
                  <c:v>MARCH</c:v>
                </c:pt>
                <c:pt idx="18">
                  <c:v>APRIL</c:v>
                </c:pt>
                <c:pt idx="19">
                  <c:v>MAY</c:v>
                </c:pt>
                <c:pt idx="20">
                  <c:v>JUNE</c:v>
                </c:pt>
                <c:pt idx="21">
                  <c:v>JULY</c:v>
                </c:pt>
                <c:pt idx="22">
                  <c:v>AUGUST</c:v>
                </c:pt>
                <c:pt idx="23">
                  <c:v>SEPT</c:v>
                </c:pt>
              </c:strCache>
            </c:strRef>
          </c:cat>
          <c:val>
            <c:numRef>
              <c:f>'AKWAKUMA HTS'!$P$3:$P$27</c:f>
              <c:numCache>
                <c:formatCode>General</c:formatCode>
                <c:ptCount val="25"/>
                <c:pt idx="0">
                  <c:v>109</c:v>
                </c:pt>
                <c:pt idx="1">
                  <c:v>180</c:v>
                </c:pt>
                <c:pt idx="2">
                  <c:v>120</c:v>
                </c:pt>
                <c:pt idx="3">
                  <c:v>365</c:v>
                </c:pt>
                <c:pt idx="4">
                  <c:v>1374</c:v>
                </c:pt>
                <c:pt idx="5">
                  <c:v>2084</c:v>
                </c:pt>
                <c:pt idx="6">
                  <c:v>509</c:v>
                </c:pt>
                <c:pt idx="7">
                  <c:v>205</c:v>
                </c:pt>
                <c:pt idx="8">
                  <c:v>461</c:v>
                </c:pt>
                <c:pt idx="9">
                  <c:v>1441</c:v>
                </c:pt>
                <c:pt idx="10">
                  <c:v>2063</c:v>
                </c:pt>
                <c:pt idx="11">
                  <c:v>4345</c:v>
                </c:pt>
                <c:pt idx="12">
                  <c:v>1672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14928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CA-4FB3-BE73-8F1AEEF462D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93122784"/>
        <c:axId val="493117208"/>
      </c:barChart>
      <c:lineChart>
        <c:grouping val="standard"/>
        <c:varyColors val="0"/>
        <c:ser>
          <c:idx val="3"/>
          <c:order val="3"/>
          <c:tx>
            <c:strRef>
              <c:f>'AKWAKUMA HTS'!$Q$1:$Q$2</c:f>
              <c:strCache>
                <c:ptCount val="2"/>
                <c:pt idx="0">
                  <c:v>CSN MONTHLY REPORT</c:v>
                </c:pt>
                <c:pt idx="1">
                  <c:v>YIELD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'AKWAKUMA HTS'!$L$3:$M$27</c15:sqref>
                  </c15:fullRef>
                  <c15:levelRef>
                    <c15:sqref>'AKWAKUMA HTS'!$M$3:$M$27</c15:sqref>
                  </c15:levelRef>
                </c:ext>
              </c:extLst>
              <c:f>'AKWAKUMA HTS'!$M$3:$M$27</c:f>
              <c:strCache>
                <c:ptCount val="2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MARCH</c:v>
                </c:pt>
                <c:pt idx="6">
                  <c:v>APRIL</c:v>
                </c:pt>
                <c:pt idx="7">
                  <c:v>MAY</c:v>
                </c:pt>
                <c:pt idx="8">
                  <c:v>JUNE</c:v>
                </c:pt>
                <c:pt idx="9">
                  <c:v>JULY</c:v>
                </c:pt>
                <c:pt idx="10">
                  <c:v>AUGUST</c:v>
                </c:pt>
                <c:pt idx="11">
                  <c:v>SEPT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  <c:pt idx="15">
                  <c:v>JAN</c:v>
                </c:pt>
                <c:pt idx="16">
                  <c:v>FEB</c:v>
                </c:pt>
                <c:pt idx="17">
                  <c:v>MARCH</c:v>
                </c:pt>
                <c:pt idx="18">
                  <c:v>APRIL</c:v>
                </c:pt>
                <c:pt idx="19">
                  <c:v>MAY</c:v>
                </c:pt>
                <c:pt idx="20">
                  <c:v>JUNE</c:v>
                </c:pt>
                <c:pt idx="21">
                  <c:v>JULY</c:v>
                </c:pt>
                <c:pt idx="22">
                  <c:v>AUGUST</c:v>
                </c:pt>
                <c:pt idx="23">
                  <c:v>SEPT</c:v>
                </c:pt>
              </c:strCache>
            </c:strRef>
          </c:cat>
          <c:val>
            <c:numRef>
              <c:f>'AKWAKUMA HTS'!$Q$3:$Q$27</c:f>
              <c:numCache>
                <c:formatCode>0%</c:formatCode>
                <c:ptCount val="25"/>
                <c:pt idx="0">
                  <c:v>0.44036697247706424</c:v>
                </c:pt>
                <c:pt idx="1">
                  <c:v>0.46666666666666667</c:v>
                </c:pt>
                <c:pt idx="2">
                  <c:v>0.90833333333333333</c:v>
                </c:pt>
                <c:pt idx="3">
                  <c:v>0.70136986301369864</c:v>
                </c:pt>
                <c:pt idx="4">
                  <c:v>0.3042212518195051</c:v>
                </c:pt>
                <c:pt idx="5">
                  <c:v>0.24328214971209214</c:v>
                </c:pt>
                <c:pt idx="6">
                  <c:v>0.89194499017681728</c:v>
                </c:pt>
                <c:pt idx="7">
                  <c:v>0.75609756097560976</c:v>
                </c:pt>
                <c:pt idx="8">
                  <c:v>0.77006507592190887</c:v>
                </c:pt>
                <c:pt idx="9">
                  <c:v>0.1040943789035392</c:v>
                </c:pt>
                <c:pt idx="10">
                  <c:v>0.10761027629665536</c:v>
                </c:pt>
                <c:pt idx="11">
                  <c:v>8.4925201380897583E-2</c:v>
                </c:pt>
                <c:pt idx="12">
                  <c:v>8.1339712918660281E-2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0.21858252947481244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CCA-4FB3-BE73-8F1AEEF462D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93123112"/>
        <c:axId val="493125408"/>
      </c:lineChart>
      <c:catAx>
        <c:axId val="493122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117208"/>
        <c:crosses val="autoZero"/>
        <c:auto val="1"/>
        <c:lblAlgn val="ctr"/>
        <c:lblOffset val="100"/>
        <c:noMultiLvlLbl val="0"/>
      </c:catAx>
      <c:valAx>
        <c:axId val="493117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122784"/>
        <c:crosses val="autoZero"/>
        <c:crossBetween val="between"/>
      </c:valAx>
      <c:valAx>
        <c:axId val="493125408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123112"/>
        <c:crosses val="max"/>
        <c:crossBetween val="between"/>
      </c:valAx>
      <c:catAx>
        <c:axId val="49312311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931254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MBEIRI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'MBEIRI HTS'!$N$3:$O$3</c:f>
              <c:strCache>
                <c:ptCount val="2"/>
                <c:pt idx="0">
                  <c:v>2021</c:v>
                </c:pt>
                <c:pt idx="1">
                  <c:v>MAY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'MBEIRI HTS'!$P$1:$S$2</c:f>
              <c:strCache>
                <c:ptCount val="4"/>
                <c:pt idx="0">
                  <c:v>POSITIVE</c:v>
                </c:pt>
                <c:pt idx="1">
                  <c:v>NEGATIVE</c:v>
                </c:pt>
                <c:pt idx="2">
                  <c:v>TOTAL TESTED</c:v>
                </c:pt>
                <c:pt idx="3">
                  <c:v>YIELD</c:v>
                </c:pt>
              </c:strCache>
            </c:strRef>
          </c:cat>
          <c:val>
            <c:numRef>
              <c:f>'MBEIRI HTS'!$P$3:$S$3</c:f>
              <c:numCache>
                <c:formatCode>General</c:formatCode>
                <c:ptCount val="4"/>
                <c:pt idx="2">
                  <c:v>0</c:v>
                </c:pt>
                <c:pt idx="3" formatCode="0%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48-4232-99FA-6CC6E37350AC}"/>
            </c:ext>
          </c:extLst>
        </c:ser>
        <c:ser>
          <c:idx val="1"/>
          <c:order val="1"/>
          <c:tx>
            <c:strRef>
              <c:f>'MBEIRI HTS'!$N$4:$O$4</c:f>
              <c:strCache>
                <c:ptCount val="2"/>
                <c:pt idx="0">
                  <c:v>2021</c:v>
                </c:pt>
                <c:pt idx="1">
                  <c:v>JUNE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'MBEIRI HTS'!$P$1:$S$2</c:f>
              <c:strCache>
                <c:ptCount val="4"/>
                <c:pt idx="0">
                  <c:v>POSITIVE</c:v>
                </c:pt>
                <c:pt idx="1">
                  <c:v>NEGATIVE</c:v>
                </c:pt>
                <c:pt idx="2">
                  <c:v>TOTAL TESTED</c:v>
                </c:pt>
                <c:pt idx="3">
                  <c:v>YIELD</c:v>
                </c:pt>
              </c:strCache>
            </c:strRef>
          </c:cat>
          <c:val>
            <c:numRef>
              <c:f>'MBEIRI HTS'!$P$4:$S$4</c:f>
              <c:numCache>
                <c:formatCode>General</c:formatCode>
                <c:ptCount val="4"/>
                <c:pt idx="0">
                  <c:v>166</c:v>
                </c:pt>
                <c:pt idx="1">
                  <c:v>440</c:v>
                </c:pt>
                <c:pt idx="2">
                  <c:v>606</c:v>
                </c:pt>
                <c:pt idx="3" formatCode="0%">
                  <c:v>0.27392739273927391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48-4232-99FA-6CC6E37350AC}"/>
            </c:ext>
          </c:extLst>
        </c:ser>
        <c:ser>
          <c:idx val="2"/>
          <c:order val="2"/>
          <c:tx>
            <c:strRef>
              <c:f>'MBEIRI HTS'!$N$5:$O$5</c:f>
              <c:strCache>
                <c:ptCount val="2"/>
                <c:pt idx="0">
                  <c:v>2021</c:v>
                </c:pt>
                <c:pt idx="1">
                  <c:v>JULY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'MBEIRI HTS'!$P$1:$S$2</c:f>
              <c:strCache>
                <c:ptCount val="4"/>
                <c:pt idx="0">
                  <c:v>POSITIVE</c:v>
                </c:pt>
                <c:pt idx="1">
                  <c:v>NEGATIVE</c:v>
                </c:pt>
                <c:pt idx="2">
                  <c:v>TOTAL TESTED</c:v>
                </c:pt>
                <c:pt idx="3">
                  <c:v>YIELD</c:v>
                </c:pt>
              </c:strCache>
            </c:strRef>
          </c:cat>
          <c:val>
            <c:numRef>
              <c:f>'MBEIRI HTS'!$P$5:$S$5</c:f>
              <c:numCache>
                <c:formatCode>General</c:formatCode>
                <c:ptCount val="4"/>
                <c:pt idx="0">
                  <c:v>320</c:v>
                </c:pt>
                <c:pt idx="1">
                  <c:v>887</c:v>
                </c:pt>
                <c:pt idx="2">
                  <c:v>1207</c:v>
                </c:pt>
                <c:pt idx="3" formatCode="0%">
                  <c:v>0.26512013256006628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48-4232-99FA-6CC6E37350AC}"/>
            </c:ext>
          </c:extLst>
        </c:ser>
        <c:ser>
          <c:idx val="3"/>
          <c:order val="3"/>
          <c:tx>
            <c:strRef>
              <c:f>'MBEIRI HTS'!$N$6:$O$6</c:f>
              <c:strCache>
                <c:ptCount val="2"/>
                <c:pt idx="0">
                  <c:v>2021</c:v>
                </c:pt>
                <c:pt idx="1">
                  <c:v>AUGUST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'MBEIRI HTS'!$P$1:$S$2</c:f>
              <c:strCache>
                <c:ptCount val="4"/>
                <c:pt idx="0">
                  <c:v>POSITIVE</c:v>
                </c:pt>
                <c:pt idx="1">
                  <c:v>NEGATIVE</c:v>
                </c:pt>
                <c:pt idx="2">
                  <c:v>TOTAL TESTED</c:v>
                </c:pt>
                <c:pt idx="3">
                  <c:v>YIELD</c:v>
                </c:pt>
              </c:strCache>
            </c:strRef>
          </c:cat>
          <c:val>
            <c:numRef>
              <c:f>'MBEIRI HTS'!$P$6:$S$6</c:f>
              <c:numCache>
                <c:formatCode>General</c:formatCode>
                <c:ptCount val="4"/>
                <c:pt idx="0">
                  <c:v>34</c:v>
                </c:pt>
                <c:pt idx="1">
                  <c:v>286</c:v>
                </c:pt>
                <c:pt idx="2">
                  <c:v>320</c:v>
                </c:pt>
                <c:pt idx="3" formatCode="0%">
                  <c:v>0.10625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48-4232-99FA-6CC6E37350AC}"/>
            </c:ext>
          </c:extLst>
        </c:ser>
        <c:ser>
          <c:idx val="4"/>
          <c:order val="4"/>
          <c:tx>
            <c:strRef>
              <c:f>'MBEIRI HTS'!$N$7:$O$7</c:f>
              <c:strCache>
                <c:ptCount val="2"/>
                <c:pt idx="0">
                  <c:v>2021</c:v>
                </c:pt>
                <c:pt idx="1">
                  <c:v>SEPT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'MBEIRI HTS'!$P$1:$S$2</c:f>
              <c:strCache>
                <c:ptCount val="4"/>
                <c:pt idx="0">
                  <c:v>POSITIVE</c:v>
                </c:pt>
                <c:pt idx="1">
                  <c:v>NEGATIVE</c:v>
                </c:pt>
                <c:pt idx="2">
                  <c:v>TOTAL TESTED</c:v>
                </c:pt>
                <c:pt idx="3">
                  <c:v>YIELD</c:v>
                </c:pt>
              </c:strCache>
            </c:strRef>
          </c:cat>
          <c:val>
            <c:numRef>
              <c:f>'MBEIRI HTS'!$P$7:$S$7</c:f>
              <c:numCache>
                <c:formatCode>General</c:formatCode>
                <c:ptCount val="4"/>
                <c:pt idx="0">
                  <c:v>30</c:v>
                </c:pt>
                <c:pt idx="1">
                  <c:v>322</c:v>
                </c:pt>
                <c:pt idx="2">
                  <c:v>352</c:v>
                </c:pt>
                <c:pt idx="3" formatCode="0%">
                  <c:v>8.5227272727272721E-2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C48-4232-99FA-6CC6E37350AC}"/>
            </c:ext>
          </c:extLst>
        </c:ser>
        <c:ser>
          <c:idx val="5"/>
          <c:order val="5"/>
          <c:tx>
            <c:strRef>
              <c:f>'MBEIRI HTS'!$N$8:$O$8</c:f>
              <c:strCache>
                <c:ptCount val="2"/>
                <c:pt idx="0">
                  <c:v>2021</c:v>
                </c:pt>
                <c:pt idx="1">
                  <c:v>OCT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'MBEIRI HTS'!$P$1:$S$2</c:f>
              <c:strCache>
                <c:ptCount val="4"/>
                <c:pt idx="0">
                  <c:v>POSITIVE</c:v>
                </c:pt>
                <c:pt idx="1">
                  <c:v>NEGATIVE</c:v>
                </c:pt>
                <c:pt idx="2">
                  <c:v>TOTAL TESTED</c:v>
                </c:pt>
                <c:pt idx="3">
                  <c:v>YIELD</c:v>
                </c:pt>
              </c:strCache>
            </c:strRef>
          </c:cat>
          <c:val>
            <c:numRef>
              <c:f>'MBEIRI HTS'!$P$8:$S$8</c:f>
              <c:numCache>
                <c:formatCode>General</c:formatCode>
                <c:ptCount val="4"/>
                <c:pt idx="0">
                  <c:v>50</c:v>
                </c:pt>
                <c:pt idx="1">
                  <c:v>503</c:v>
                </c:pt>
                <c:pt idx="2">
                  <c:v>553</c:v>
                </c:pt>
                <c:pt idx="3" formatCode="0%">
                  <c:v>9.0415913200723327E-2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C48-4232-99FA-6CC6E37350AC}"/>
            </c:ext>
          </c:extLst>
        </c:ser>
        <c:ser>
          <c:idx val="6"/>
          <c:order val="6"/>
          <c:tx>
            <c:strRef>
              <c:f>'MBEIRI HTS'!$N$9:$O$9</c:f>
              <c:strCache>
                <c:ptCount val="2"/>
                <c:pt idx="0">
                  <c:v>2021</c:v>
                </c:pt>
                <c:pt idx="1">
                  <c:v>NOV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'MBEIRI HTS'!$P$1:$S$2</c:f>
              <c:strCache>
                <c:ptCount val="4"/>
                <c:pt idx="0">
                  <c:v>POSITIVE</c:v>
                </c:pt>
                <c:pt idx="1">
                  <c:v>NEGATIVE</c:v>
                </c:pt>
                <c:pt idx="2">
                  <c:v>TOTAL TESTED</c:v>
                </c:pt>
                <c:pt idx="3">
                  <c:v>YIELD</c:v>
                </c:pt>
              </c:strCache>
            </c:strRef>
          </c:cat>
          <c:val>
            <c:numRef>
              <c:f>'MBEIRI HTS'!$P$9:$S$9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0%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C48-4232-99FA-6CC6E37350AC}"/>
            </c:ext>
          </c:extLst>
        </c:ser>
        <c:ser>
          <c:idx val="7"/>
          <c:order val="7"/>
          <c:tx>
            <c:strRef>
              <c:f>'MBEIRI HTS'!$N$10:$O$10</c:f>
              <c:strCache>
                <c:ptCount val="2"/>
                <c:pt idx="0">
                  <c:v>2021</c:v>
                </c:pt>
                <c:pt idx="1">
                  <c:v>DEC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'MBEIRI HTS'!$P$1:$S$2</c:f>
              <c:strCache>
                <c:ptCount val="4"/>
                <c:pt idx="0">
                  <c:v>POSITIVE</c:v>
                </c:pt>
                <c:pt idx="1">
                  <c:v>NEGATIVE</c:v>
                </c:pt>
                <c:pt idx="2">
                  <c:v>TOTAL TESTED</c:v>
                </c:pt>
                <c:pt idx="3">
                  <c:v>YIELD</c:v>
                </c:pt>
              </c:strCache>
            </c:strRef>
          </c:cat>
          <c:val>
            <c:numRef>
              <c:f>'MBEIRI HTS'!$P$10:$S$10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0%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C48-4232-99FA-6CC6E37350AC}"/>
            </c:ext>
          </c:extLst>
        </c:ser>
        <c:ser>
          <c:idx val="8"/>
          <c:order val="8"/>
          <c:tx>
            <c:strRef>
              <c:f>'MBEIRI HTS'!$N$20:$O$20</c:f>
              <c:strCache>
                <c:ptCount val="2"/>
                <c:pt idx="0">
                  <c:v>TOTAL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'MBEIRI HTS'!$P$1:$S$2</c:f>
              <c:strCache>
                <c:ptCount val="4"/>
                <c:pt idx="0">
                  <c:v>POSITIVE</c:v>
                </c:pt>
                <c:pt idx="1">
                  <c:v>NEGATIVE</c:v>
                </c:pt>
                <c:pt idx="2">
                  <c:v>TOTAL TESTED</c:v>
                </c:pt>
                <c:pt idx="3">
                  <c:v>YIELD</c:v>
                </c:pt>
              </c:strCache>
            </c:strRef>
          </c:cat>
          <c:val>
            <c:numRef>
              <c:f>'MBEIRI HTS'!$P$20:$S$20</c:f>
              <c:numCache>
                <c:formatCode>General</c:formatCode>
                <c:ptCount val="4"/>
                <c:pt idx="0">
                  <c:v>600</c:v>
                </c:pt>
                <c:pt idx="1">
                  <c:v>2438</c:v>
                </c:pt>
                <c:pt idx="2">
                  <c:v>3038</c:v>
                </c:pt>
                <c:pt idx="3" formatCode="0%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C48-4232-99FA-6CC6E37350A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00984672"/>
        <c:axId val="500994840"/>
      </c:barChart>
      <c:catAx>
        <c:axId val="500984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994840"/>
        <c:crosses val="autoZero"/>
        <c:auto val="1"/>
        <c:lblAlgn val="ctr"/>
        <c:lblOffset val="100"/>
        <c:noMultiLvlLbl val="0"/>
      </c:catAx>
      <c:valAx>
        <c:axId val="500994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984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AKWAKUMA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'AKWAKUMA HTS'!$N$1:$N$2</c:f>
              <c:strCache>
                <c:ptCount val="2"/>
                <c:pt idx="0">
                  <c:v>CSN MONTHLY REPORT</c:v>
                </c:pt>
                <c:pt idx="1">
                  <c:v>POSITIVE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'AKWAKUMA HTS'!$L$3:$M$27</c15:sqref>
                  </c15:fullRef>
                  <c15:levelRef>
                    <c15:sqref>'AKWAKUMA HTS'!$M$3:$M$27</c15:sqref>
                  </c15:levelRef>
                </c:ext>
              </c:extLst>
              <c:f>'AKWAKUMA HTS'!$M$3:$M$27</c:f>
              <c:strCache>
                <c:ptCount val="2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MARCH</c:v>
                </c:pt>
                <c:pt idx="6">
                  <c:v>APRIL</c:v>
                </c:pt>
                <c:pt idx="7">
                  <c:v>MAY</c:v>
                </c:pt>
                <c:pt idx="8">
                  <c:v>JUNE</c:v>
                </c:pt>
                <c:pt idx="9">
                  <c:v>JULY</c:v>
                </c:pt>
                <c:pt idx="10">
                  <c:v>AUGUST</c:v>
                </c:pt>
                <c:pt idx="11">
                  <c:v>SEPT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  <c:pt idx="15">
                  <c:v>JAN</c:v>
                </c:pt>
                <c:pt idx="16">
                  <c:v>FEB</c:v>
                </c:pt>
                <c:pt idx="17">
                  <c:v>MARCH</c:v>
                </c:pt>
                <c:pt idx="18">
                  <c:v>APRIL</c:v>
                </c:pt>
                <c:pt idx="19">
                  <c:v>MAY</c:v>
                </c:pt>
                <c:pt idx="20">
                  <c:v>JUNE</c:v>
                </c:pt>
                <c:pt idx="21">
                  <c:v>JULY</c:v>
                </c:pt>
                <c:pt idx="22">
                  <c:v>AUGUST</c:v>
                </c:pt>
                <c:pt idx="23">
                  <c:v>SEPT</c:v>
                </c:pt>
              </c:strCache>
            </c:strRef>
          </c:cat>
          <c:val>
            <c:numRef>
              <c:f>'AKWAKUMA HTS'!$N$3:$N$27</c:f>
              <c:numCache>
                <c:formatCode>General</c:formatCode>
                <c:ptCount val="25"/>
                <c:pt idx="0">
                  <c:v>48</c:v>
                </c:pt>
                <c:pt idx="1">
                  <c:v>84</c:v>
                </c:pt>
                <c:pt idx="2">
                  <c:v>109</c:v>
                </c:pt>
                <c:pt idx="3">
                  <c:v>256</c:v>
                </c:pt>
                <c:pt idx="4">
                  <c:v>418</c:v>
                </c:pt>
                <c:pt idx="5">
                  <c:v>507</c:v>
                </c:pt>
                <c:pt idx="6">
                  <c:v>454</c:v>
                </c:pt>
                <c:pt idx="7">
                  <c:v>155</c:v>
                </c:pt>
                <c:pt idx="8">
                  <c:v>355</c:v>
                </c:pt>
                <c:pt idx="9">
                  <c:v>150</c:v>
                </c:pt>
                <c:pt idx="10">
                  <c:v>222</c:v>
                </c:pt>
                <c:pt idx="11">
                  <c:v>369</c:v>
                </c:pt>
                <c:pt idx="12">
                  <c:v>136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3263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7D-4CD9-BFBB-D31DFE14E1EF}"/>
            </c:ext>
          </c:extLst>
        </c:ser>
        <c:ser>
          <c:idx val="1"/>
          <c:order val="1"/>
          <c:tx>
            <c:strRef>
              <c:f>'AKWAKUMA HTS'!$O$1:$O$2</c:f>
              <c:strCache>
                <c:ptCount val="2"/>
                <c:pt idx="0">
                  <c:v>CSN MONTHLY REPORT</c:v>
                </c:pt>
                <c:pt idx="1">
                  <c:v>NEGATIVE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'AKWAKUMA HTS'!$L$3:$M$27</c15:sqref>
                  </c15:fullRef>
                  <c15:levelRef>
                    <c15:sqref>'AKWAKUMA HTS'!$M$3:$M$27</c15:sqref>
                  </c15:levelRef>
                </c:ext>
              </c:extLst>
              <c:f>'AKWAKUMA HTS'!$M$3:$M$27</c:f>
              <c:strCache>
                <c:ptCount val="2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MARCH</c:v>
                </c:pt>
                <c:pt idx="6">
                  <c:v>APRIL</c:v>
                </c:pt>
                <c:pt idx="7">
                  <c:v>MAY</c:v>
                </c:pt>
                <c:pt idx="8">
                  <c:v>JUNE</c:v>
                </c:pt>
                <c:pt idx="9">
                  <c:v>JULY</c:v>
                </c:pt>
                <c:pt idx="10">
                  <c:v>AUGUST</c:v>
                </c:pt>
                <c:pt idx="11">
                  <c:v>SEPT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  <c:pt idx="15">
                  <c:v>JAN</c:v>
                </c:pt>
                <c:pt idx="16">
                  <c:v>FEB</c:v>
                </c:pt>
                <c:pt idx="17">
                  <c:v>MARCH</c:v>
                </c:pt>
                <c:pt idx="18">
                  <c:v>APRIL</c:v>
                </c:pt>
                <c:pt idx="19">
                  <c:v>MAY</c:v>
                </c:pt>
                <c:pt idx="20">
                  <c:v>JUNE</c:v>
                </c:pt>
                <c:pt idx="21">
                  <c:v>JULY</c:v>
                </c:pt>
                <c:pt idx="22">
                  <c:v>AUGUST</c:v>
                </c:pt>
                <c:pt idx="23">
                  <c:v>SEPT</c:v>
                </c:pt>
              </c:strCache>
            </c:strRef>
          </c:cat>
          <c:val>
            <c:numRef>
              <c:f>'AKWAKUMA HTS'!$O$3:$O$27</c:f>
              <c:numCache>
                <c:formatCode>General</c:formatCode>
                <c:ptCount val="25"/>
                <c:pt idx="0">
                  <c:v>61</c:v>
                </c:pt>
                <c:pt idx="1">
                  <c:v>96</c:v>
                </c:pt>
                <c:pt idx="2">
                  <c:v>11</c:v>
                </c:pt>
                <c:pt idx="3">
                  <c:v>109</c:v>
                </c:pt>
                <c:pt idx="4">
                  <c:v>956</c:v>
                </c:pt>
                <c:pt idx="5">
                  <c:v>1577</c:v>
                </c:pt>
                <c:pt idx="6">
                  <c:v>55</c:v>
                </c:pt>
                <c:pt idx="7">
                  <c:v>50</c:v>
                </c:pt>
                <c:pt idx="8">
                  <c:v>106</c:v>
                </c:pt>
                <c:pt idx="9">
                  <c:v>1291</c:v>
                </c:pt>
                <c:pt idx="10">
                  <c:v>1841</c:v>
                </c:pt>
                <c:pt idx="11">
                  <c:v>3976</c:v>
                </c:pt>
                <c:pt idx="12">
                  <c:v>1536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11665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7D-4CD9-BFBB-D31DFE14E1EF}"/>
            </c:ext>
          </c:extLst>
        </c:ser>
        <c:ser>
          <c:idx val="2"/>
          <c:order val="2"/>
          <c:tx>
            <c:strRef>
              <c:f>'AKWAKUMA HTS'!$P$1:$P$2</c:f>
              <c:strCache>
                <c:ptCount val="2"/>
                <c:pt idx="0">
                  <c:v>CSN MONTHLY REPORT</c:v>
                </c:pt>
                <c:pt idx="1">
                  <c:v>TOTAL TESTED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'AKWAKUMA HTS'!$L$3:$M$27</c15:sqref>
                  </c15:fullRef>
                  <c15:levelRef>
                    <c15:sqref>'AKWAKUMA HTS'!$M$3:$M$27</c15:sqref>
                  </c15:levelRef>
                </c:ext>
              </c:extLst>
              <c:f>'AKWAKUMA HTS'!$M$3:$M$27</c:f>
              <c:strCache>
                <c:ptCount val="2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MARCH</c:v>
                </c:pt>
                <c:pt idx="6">
                  <c:v>APRIL</c:v>
                </c:pt>
                <c:pt idx="7">
                  <c:v>MAY</c:v>
                </c:pt>
                <c:pt idx="8">
                  <c:v>JUNE</c:v>
                </c:pt>
                <c:pt idx="9">
                  <c:v>JULY</c:v>
                </c:pt>
                <c:pt idx="10">
                  <c:v>AUGUST</c:v>
                </c:pt>
                <c:pt idx="11">
                  <c:v>SEPT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  <c:pt idx="15">
                  <c:v>JAN</c:v>
                </c:pt>
                <c:pt idx="16">
                  <c:v>FEB</c:v>
                </c:pt>
                <c:pt idx="17">
                  <c:v>MARCH</c:v>
                </c:pt>
                <c:pt idx="18">
                  <c:v>APRIL</c:v>
                </c:pt>
                <c:pt idx="19">
                  <c:v>MAY</c:v>
                </c:pt>
                <c:pt idx="20">
                  <c:v>JUNE</c:v>
                </c:pt>
                <c:pt idx="21">
                  <c:v>JULY</c:v>
                </c:pt>
                <c:pt idx="22">
                  <c:v>AUGUST</c:v>
                </c:pt>
                <c:pt idx="23">
                  <c:v>SEPT</c:v>
                </c:pt>
              </c:strCache>
            </c:strRef>
          </c:cat>
          <c:val>
            <c:numRef>
              <c:f>'AKWAKUMA HTS'!$P$3:$P$27</c:f>
              <c:numCache>
                <c:formatCode>General</c:formatCode>
                <c:ptCount val="25"/>
                <c:pt idx="0">
                  <c:v>109</c:v>
                </c:pt>
                <c:pt idx="1">
                  <c:v>180</c:v>
                </c:pt>
                <c:pt idx="2">
                  <c:v>120</c:v>
                </c:pt>
                <c:pt idx="3">
                  <c:v>365</c:v>
                </c:pt>
                <c:pt idx="4">
                  <c:v>1374</c:v>
                </c:pt>
                <c:pt idx="5">
                  <c:v>2084</c:v>
                </c:pt>
                <c:pt idx="6">
                  <c:v>509</c:v>
                </c:pt>
                <c:pt idx="7">
                  <c:v>205</c:v>
                </c:pt>
                <c:pt idx="8">
                  <c:v>461</c:v>
                </c:pt>
                <c:pt idx="9">
                  <c:v>1441</c:v>
                </c:pt>
                <c:pt idx="10">
                  <c:v>2063</c:v>
                </c:pt>
                <c:pt idx="11">
                  <c:v>4345</c:v>
                </c:pt>
                <c:pt idx="12">
                  <c:v>1672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14928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7D-4CD9-BFBB-D31DFE14E1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3122784"/>
        <c:axId val="493117208"/>
      </c:barChart>
      <c:lineChart>
        <c:grouping val="standard"/>
        <c:varyColors val="0"/>
        <c:ser>
          <c:idx val="3"/>
          <c:order val="3"/>
          <c:tx>
            <c:strRef>
              <c:f>'AKWAKUMA HTS'!$Q$1:$Q$2</c:f>
              <c:strCache>
                <c:ptCount val="2"/>
                <c:pt idx="0">
                  <c:v>CSN MONTHLY REPORT</c:v>
                </c:pt>
                <c:pt idx="1">
                  <c:v>YIELD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'AKWAKUMA HTS'!$L$3:$M$27</c15:sqref>
                  </c15:fullRef>
                  <c15:levelRef>
                    <c15:sqref>'AKWAKUMA HTS'!$M$3:$M$27</c15:sqref>
                  </c15:levelRef>
                </c:ext>
              </c:extLst>
              <c:f>'AKWAKUMA HTS'!$M$3:$M$27</c:f>
              <c:strCache>
                <c:ptCount val="2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MARCH</c:v>
                </c:pt>
                <c:pt idx="6">
                  <c:v>APRIL</c:v>
                </c:pt>
                <c:pt idx="7">
                  <c:v>MAY</c:v>
                </c:pt>
                <c:pt idx="8">
                  <c:v>JUNE</c:v>
                </c:pt>
                <c:pt idx="9">
                  <c:v>JULY</c:v>
                </c:pt>
                <c:pt idx="10">
                  <c:v>AUGUST</c:v>
                </c:pt>
                <c:pt idx="11">
                  <c:v>SEPT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  <c:pt idx="15">
                  <c:v>JAN</c:v>
                </c:pt>
                <c:pt idx="16">
                  <c:v>FEB</c:v>
                </c:pt>
                <c:pt idx="17">
                  <c:v>MARCH</c:v>
                </c:pt>
                <c:pt idx="18">
                  <c:v>APRIL</c:v>
                </c:pt>
                <c:pt idx="19">
                  <c:v>MAY</c:v>
                </c:pt>
                <c:pt idx="20">
                  <c:v>JUNE</c:v>
                </c:pt>
                <c:pt idx="21">
                  <c:v>JULY</c:v>
                </c:pt>
                <c:pt idx="22">
                  <c:v>AUGUST</c:v>
                </c:pt>
                <c:pt idx="23">
                  <c:v>SEPT</c:v>
                </c:pt>
              </c:strCache>
            </c:strRef>
          </c:cat>
          <c:val>
            <c:numRef>
              <c:f>'AKWAKUMA HTS'!$Q$3:$Q$27</c:f>
              <c:numCache>
                <c:formatCode>0%</c:formatCode>
                <c:ptCount val="25"/>
                <c:pt idx="0">
                  <c:v>0.44036697247706424</c:v>
                </c:pt>
                <c:pt idx="1">
                  <c:v>0.46666666666666667</c:v>
                </c:pt>
                <c:pt idx="2">
                  <c:v>0.90833333333333333</c:v>
                </c:pt>
                <c:pt idx="3">
                  <c:v>0.70136986301369864</c:v>
                </c:pt>
                <c:pt idx="4">
                  <c:v>0.3042212518195051</c:v>
                </c:pt>
                <c:pt idx="5">
                  <c:v>0.24328214971209214</c:v>
                </c:pt>
                <c:pt idx="6">
                  <c:v>0.89194499017681728</c:v>
                </c:pt>
                <c:pt idx="7">
                  <c:v>0.75609756097560976</c:v>
                </c:pt>
                <c:pt idx="8">
                  <c:v>0.77006507592190887</c:v>
                </c:pt>
                <c:pt idx="9">
                  <c:v>0.1040943789035392</c:v>
                </c:pt>
                <c:pt idx="10">
                  <c:v>0.10761027629665536</c:v>
                </c:pt>
                <c:pt idx="11">
                  <c:v>8.4925201380897583E-2</c:v>
                </c:pt>
                <c:pt idx="12">
                  <c:v>8.1339712918660281E-2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0.21858252947481244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7D-4CD9-BFBB-D31DFE14E1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3123112"/>
        <c:axId val="493125408"/>
      </c:lineChart>
      <c:catAx>
        <c:axId val="493122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117208"/>
        <c:crosses val="autoZero"/>
        <c:auto val="1"/>
        <c:lblAlgn val="ctr"/>
        <c:lblOffset val="100"/>
        <c:noMultiLvlLbl val="0"/>
      </c:catAx>
      <c:valAx>
        <c:axId val="493117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122784"/>
        <c:crosses val="autoZero"/>
        <c:crossBetween val="between"/>
      </c:valAx>
      <c:valAx>
        <c:axId val="493125408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123112"/>
        <c:crosses val="max"/>
        <c:crossBetween val="between"/>
      </c:valAx>
      <c:catAx>
        <c:axId val="49312311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931254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MBEIRI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'MBEIRI HTS'!$N$3:$O$3</c:f>
              <c:strCache>
                <c:ptCount val="2"/>
                <c:pt idx="0">
                  <c:v>2021</c:v>
                </c:pt>
                <c:pt idx="1">
                  <c:v>MAY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'MBEIRI HTS'!$P$1:$S$2</c:f>
              <c:strCache>
                <c:ptCount val="4"/>
                <c:pt idx="0">
                  <c:v>POSITIVE</c:v>
                </c:pt>
                <c:pt idx="1">
                  <c:v>NEGATIVE</c:v>
                </c:pt>
                <c:pt idx="2">
                  <c:v>TOTAL TESTED</c:v>
                </c:pt>
                <c:pt idx="3">
                  <c:v>YIELD</c:v>
                </c:pt>
              </c:strCache>
            </c:strRef>
          </c:cat>
          <c:val>
            <c:numRef>
              <c:f>'MBEIRI HTS'!$P$3:$S$3</c:f>
              <c:numCache>
                <c:formatCode>General</c:formatCode>
                <c:ptCount val="4"/>
                <c:pt idx="2">
                  <c:v>0</c:v>
                </c:pt>
                <c:pt idx="3" formatCode="0%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01-40CE-953D-0ED503F7FC47}"/>
            </c:ext>
          </c:extLst>
        </c:ser>
        <c:ser>
          <c:idx val="1"/>
          <c:order val="1"/>
          <c:tx>
            <c:strRef>
              <c:f>'MBEIRI HTS'!$N$4:$O$4</c:f>
              <c:strCache>
                <c:ptCount val="2"/>
                <c:pt idx="0">
                  <c:v>2021</c:v>
                </c:pt>
                <c:pt idx="1">
                  <c:v>JUNE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'MBEIRI HTS'!$P$1:$S$2</c:f>
              <c:strCache>
                <c:ptCount val="4"/>
                <c:pt idx="0">
                  <c:v>POSITIVE</c:v>
                </c:pt>
                <c:pt idx="1">
                  <c:v>NEGATIVE</c:v>
                </c:pt>
                <c:pt idx="2">
                  <c:v>TOTAL TESTED</c:v>
                </c:pt>
                <c:pt idx="3">
                  <c:v>YIELD</c:v>
                </c:pt>
              </c:strCache>
            </c:strRef>
          </c:cat>
          <c:val>
            <c:numRef>
              <c:f>'MBEIRI HTS'!$P$4:$S$4</c:f>
              <c:numCache>
                <c:formatCode>General</c:formatCode>
                <c:ptCount val="4"/>
                <c:pt idx="0">
                  <c:v>166</c:v>
                </c:pt>
                <c:pt idx="1">
                  <c:v>440</c:v>
                </c:pt>
                <c:pt idx="2">
                  <c:v>606</c:v>
                </c:pt>
                <c:pt idx="3" formatCode="0%">
                  <c:v>0.27392739273927391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01-40CE-953D-0ED503F7FC47}"/>
            </c:ext>
          </c:extLst>
        </c:ser>
        <c:ser>
          <c:idx val="2"/>
          <c:order val="2"/>
          <c:tx>
            <c:strRef>
              <c:f>'MBEIRI HTS'!$N$5:$O$5</c:f>
              <c:strCache>
                <c:ptCount val="2"/>
                <c:pt idx="0">
                  <c:v>2021</c:v>
                </c:pt>
                <c:pt idx="1">
                  <c:v>JULY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'MBEIRI HTS'!$P$1:$S$2</c:f>
              <c:strCache>
                <c:ptCount val="4"/>
                <c:pt idx="0">
                  <c:v>POSITIVE</c:v>
                </c:pt>
                <c:pt idx="1">
                  <c:v>NEGATIVE</c:v>
                </c:pt>
                <c:pt idx="2">
                  <c:v>TOTAL TESTED</c:v>
                </c:pt>
                <c:pt idx="3">
                  <c:v>YIELD</c:v>
                </c:pt>
              </c:strCache>
            </c:strRef>
          </c:cat>
          <c:val>
            <c:numRef>
              <c:f>'MBEIRI HTS'!$P$5:$S$5</c:f>
              <c:numCache>
                <c:formatCode>General</c:formatCode>
                <c:ptCount val="4"/>
                <c:pt idx="0">
                  <c:v>320</c:v>
                </c:pt>
                <c:pt idx="1">
                  <c:v>887</c:v>
                </c:pt>
                <c:pt idx="2">
                  <c:v>1207</c:v>
                </c:pt>
                <c:pt idx="3" formatCode="0%">
                  <c:v>0.26512013256006628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01-40CE-953D-0ED503F7FC47}"/>
            </c:ext>
          </c:extLst>
        </c:ser>
        <c:ser>
          <c:idx val="3"/>
          <c:order val="3"/>
          <c:tx>
            <c:strRef>
              <c:f>'MBEIRI HTS'!$N$6:$O$6</c:f>
              <c:strCache>
                <c:ptCount val="2"/>
                <c:pt idx="0">
                  <c:v>2021</c:v>
                </c:pt>
                <c:pt idx="1">
                  <c:v>AUGUST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'MBEIRI HTS'!$P$1:$S$2</c:f>
              <c:strCache>
                <c:ptCount val="4"/>
                <c:pt idx="0">
                  <c:v>POSITIVE</c:v>
                </c:pt>
                <c:pt idx="1">
                  <c:v>NEGATIVE</c:v>
                </c:pt>
                <c:pt idx="2">
                  <c:v>TOTAL TESTED</c:v>
                </c:pt>
                <c:pt idx="3">
                  <c:v>YIELD</c:v>
                </c:pt>
              </c:strCache>
            </c:strRef>
          </c:cat>
          <c:val>
            <c:numRef>
              <c:f>'MBEIRI HTS'!$P$6:$S$6</c:f>
              <c:numCache>
                <c:formatCode>General</c:formatCode>
                <c:ptCount val="4"/>
                <c:pt idx="0">
                  <c:v>34</c:v>
                </c:pt>
                <c:pt idx="1">
                  <c:v>286</c:v>
                </c:pt>
                <c:pt idx="2">
                  <c:v>320</c:v>
                </c:pt>
                <c:pt idx="3" formatCode="0%">
                  <c:v>0.10625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701-40CE-953D-0ED503F7FC47}"/>
            </c:ext>
          </c:extLst>
        </c:ser>
        <c:ser>
          <c:idx val="4"/>
          <c:order val="4"/>
          <c:tx>
            <c:strRef>
              <c:f>'MBEIRI HTS'!$N$7:$O$7</c:f>
              <c:strCache>
                <c:ptCount val="2"/>
                <c:pt idx="0">
                  <c:v>2021</c:v>
                </c:pt>
                <c:pt idx="1">
                  <c:v>SEPT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'MBEIRI HTS'!$P$1:$S$2</c:f>
              <c:strCache>
                <c:ptCount val="4"/>
                <c:pt idx="0">
                  <c:v>POSITIVE</c:v>
                </c:pt>
                <c:pt idx="1">
                  <c:v>NEGATIVE</c:v>
                </c:pt>
                <c:pt idx="2">
                  <c:v>TOTAL TESTED</c:v>
                </c:pt>
                <c:pt idx="3">
                  <c:v>YIELD</c:v>
                </c:pt>
              </c:strCache>
            </c:strRef>
          </c:cat>
          <c:val>
            <c:numRef>
              <c:f>'MBEIRI HTS'!$P$7:$S$7</c:f>
              <c:numCache>
                <c:formatCode>General</c:formatCode>
                <c:ptCount val="4"/>
                <c:pt idx="0">
                  <c:v>30</c:v>
                </c:pt>
                <c:pt idx="1">
                  <c:v>322</c:v>
                </c:pt>
                <c:pt idx="2">
                  <c:v>352</c:v>
                </c:pt>
                <c:pt idx="3" formatCode="0%">
                  <c:v>8.5227272727272721E-2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701-40CE-953D-0ED503F7FC47}"/>
            </c:ext>
          </c:extLst>
        </c:ser>
        <c:ser>
          <c:idx val="5"/>
          <c:order val="5"/>
          <c:tx>
            <c:strRef>
              <c:f>'MBEIRI HTS'!$N$8:$O$8</c:f>
              <c:strCache>
                <c:ptCount val="2"/>
                <c:pt idx="0">
                  <c:v>2021</c:v>
                </c:pt>
                <c:pt idx="1">
                  <c:v>OCT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'MBEIRI HTS'!$P$1:$S$2</c:f>
              <c:strCache>
                <c:ptCount val="4"/>
                <c:pt idx="0">
                  <c:v>POSITIVE</c:v>
                </c:pt>
                <c:pt idx="1">
                  <c:v>NEGATIVE</c:v>
                </c:pt>
                <c:pt idx="2">
                  <c:v>TOTAL TESTED</c:v>
                </c:pt>
                <c:pt idx="3">
                  <c:v>YIELD</c:v>
                </c:pt>
              </c:strCache>
            </c:strRef>
          </c:cat>
          <c:val>
            <c:numRef>
              <c:f>'MBEIRI HTS'!$P$8:$S$8</c:f>
              <c:numCache>
                <c:formatCode>General</c:formatCode>
                <c:ptCount val="4"/>
                <c:pt idx="0">
                  <c:v>50</c:v>
                </c:pt>
                <c:pt idx="1">
                  <c:v>503</c:v>
                </c:pt>
                <c:pt idx="2">
                  <c:v>553</c:v>
                </c:pt>
                <c:pt idx="3" formatCode="0%">
                  <c:v>9.0415913200723327E-2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701-40CE-953D-0ED503F7FC47}"/>
            </c:ext>
          </c:extLst>
        </c:ser>
        <c:ser>
          <c:idx val="6"/>
          <c:order val="6"/>
          <c:tx>
            <c:strRef>
              <c:f>'MBEIRI HTS'!$N$9:$O$9</c:f>
              <c:strCache>
                <c:ptCount val="2"/>
                <c:pt idx="0">
                  <c:v>2021</c:v>
                </c:pt>
                <c:pt idx="1">
                  <c:v>NOV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'MBEIRI HTS'!$P$1:$S$2</c:f>
              <c:strCache>
                <c:ptCount val="4"/>
                <c:pt idx="0">
                  <c:v>POSITIVE</c:v>
                </c:pt>
                <c:pt idx="1">
                  <c:v>NEGATIVE</c:v>
                </c:pt>
                <c:pt idx="2">
                  <c:v>TOTAL TESTED</c:v>
                </c:pt>
                <c:pt idx="3">
                  <c:v>YIELD</c:v>
                </c:pt>
              </c:strCache>
            </c:strRef>
          </c:cat>
          <c:val>
            <c:numRef>
              <c:f>'MBEIRI HTS'!$P$9:$S$9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0%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701-40CE-953D-0ED503F7FC47}"/>
            </c:ext>
          </c:extLst>
        </c:ser>
        <c:ser>
          <c:idx val="7"/>
          <c:order val="7"/>
          <c:tx>
            <c:strRef>
              <c:f>'MBEIRI HTS'!$N$10:$O$10</c:f>
              <c:strCache>
                <c:ptCount val="2"/>
                <c:pt idx="0">
                  <c:v>2021</c:v>
                </c:pt>
                <c:pt idx="1">
                  <c:v>DEC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'MBEIRI HTS'!$P$1:$S$2</c:f>
              <c:strCache>
                <c:ptCount val="4"/>
                <c:pt idx="0">
                  <c:v>POSITIVE</c:v>
                </c:pt>
                <c:pt idx="1">
                  <c:v>NEGATIVE</c:v>
                </c:pt>
                <c:pt idx="2">
                  <c:v>TOTAL TESTED</c:v>
                </c:pt>
                <c:pt idx="3">
                  <c:v>YIELD</c:v>
                </c:pt>
              </c:strCache>
            </c:strRef>
          </c:cat>
          <c:val>
            <c:numRef>
              <c:f>'MBEIRI HTS'!$P$10:$S$10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0%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701-40CE-953D-0ED503F7FC47}"/>
            </c:ext>
          </c:extLst>
        </c:ser>
        <c:ser>
          <c:idx val="8"/>
          <c:order val="8"/>
          <c:tx>
            <c:strRef>
              <c:f>'MBEIRI HTS'!$N$20:$O$20</c:f>
              <c:strCache>
                <c:ptCount val="2"/>
                <c:pt idx="0">
                  <c:v>TOTAL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'MBEIRI HTS'!$P$1:$S$2</c:f>
              <c:strCache>
                <c:ptCount val="4"/>
                <c:pt idx="0">
                  <c:v>POSITIVE</c:v>
                </c:pt>
                <c:pt idx="1">
                  <c:v>NEGATIVE</c:v>
                </c:pt>
                <c:pt idx="2">
                  <c:v>TOTAL TESTED</c:v>
                </c:pt>
                <c:pt idx="3">
                  <c:v>YIELD</c:v>
                </c:pt>
              </c:strCache>
            </c:strRef>
          </c:cat>
          <c:val>
            <c:numRef>
              <c:f>'MBEIRI HTS'!$P$20:$S$20</c:f>
              <c:numCache>
                <c:formatCode>General</c:formatCode>
                <c:ptCount val="4"/>
                <c:pt idx="0">
                  <c:v>600</c:v>
                </c:pt>
                <c:pt idx="1">
                  <c:v>2438</c:v>
                </c:pt>
                <c:pt idx="2">
                  <c:v>3038</c:v>
                </c:pt>
                <c:pt idx="3" formatCode="0%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701-40CE-953D-0ED503F7FC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0984672"/>
        <c:axId val="500994840"/>
      </c:barChart>
      <c:catAx>
        <c:axId val="500984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994840"/>
        <c:crosses val="autoZero"/>
        <c:auto val="1"/>
        <c:lblAlgn val="ctr"/>
        <c:lblOffset val="100"/>
        <c:noMultiLvlLbl val="0"/>
      </c:catAx>
      <c:valAx>
        <c:axId val="500994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984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104776</xdr:colOff>
      <xdr:row>10</xdr:row>
      <xdr:rowOff>47625</xdr:rowOff>
    </xdr:from>
    <xdr:to>
      <xdr:col>21</xdr:col>
      <xdr:colOff>142876</xdr:colOff>
      <xdr:row>11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E0BE25-83C5-4B4C-82BF-A1C740BFCE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352425</xdr:colOff>
      <xdr:row>7</xdr:row>
      <xdr:rowOff>33337</xdr:rowOff>
    </xdr:from>
    <xdr:to>
      <xdr:col>12</xdr:col>
      <xdr:colOff>438151</xdr:colOff>
      <xdr:row>8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43AED2-43C8-4954-B990-6FB2F63753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361950</xdr:colOff>
      <xdr:row>1</xdr:row>
      <xdr:rowOff>66675</xdr:rowOff>
    </xdr:from>
    <xdr:to>
      <xdr:col>7</xdr:col>
      <xdr:colOff>85725</xdr:colOff>
      <xdr:row>14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60320D-8BEE-4C6C-9E90-4A24A2A1F6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609599</xdr:colOff>
      <xdr:row>0</xdr:row>
      <xdr:rowOff>142876</xdr:rowOff>
    </xdr:from>
    <xdr:to>
      <xdr:col>16</xdr:col>
      <xdr:colOff>447675</xdr:colOff>
      <xdr:row>12</xdr:row>
      <xdr:rowOff>28576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34A874C-5823-4F3B-971C-D192547E07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314325</xdr:colOff>
      <xdr:row>14</xdr:row>
      <xdr:rowOff>171450</xdr:rowOff>
    </xdr:from>
    <xdr:to>
      <xdr:col>8</xdr:col>
      <xdr:colOff>238125</xdr:colOff>
      <xdr:row>26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B3AF6D7-E79F-4E11-813F-01A8A88C12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15</xdr:row>
      <xdr:rowOff>0</xdr:rowOff>
    </xdr:from>
    <xdr:to>
      <xdr:col>18</xdr:col>
      <xdr:colOff>152400</xdr:colOff>
      <xdr:row>29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F1BD1A3-515A-4447-88F0-4A8E669A08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152400</xdr:colOff>
      <xdr:row>1</xdr:row>
      <xdr:rowOff>57156</xdr:rowOff>
    </xdr:from>
    <xdr:to>
      <xdr:col>24</xdr:col>
      <xdr:colOff>457200</xdr:colOff>
      <xdr:row>14</xdr:row>
      <xdr:rowOff>76206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469B10-91E7-4C50-8FB7-3366231208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142875</xdr:colOff>
      <xdr:row>0</xdr:row>
      <xdr:rowOff>128587</xdr:rowOff>
    </xdr:from>
    <xdr:to>
      <xdr:col>26</xdr:col>
      <xdr:colOff>447675</xdr:colOff>
      <xdr:row>15</xdr:row>
      <xdr:rowOff>14287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139C7C3-B138-4436-AA6C-09E1AB54C8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A1F23-F0D8-423F-A368-FF8A43A2A70E}">
  <sheetPr>
    <tabColor rgb="FFC00000"/>
  </sheetPr>
  <dimension ref="A1:R38"/>
  <sheetViews>
    <sheetView workbookViewId="0">
      <selection activeCell="Q12" sqref="Q12"/>
    </sheetView>
  </sheetViews>
  <sheetFormatPr defaultRowHeight="15" x14ac:dyDescent="0.25"/>
  <cols>
    <col min="5" max="5" width="9.140625" style="2"/>
    <col min="9" max="9" width="9.28515625" customWidth="1"/>
    <col min="10" max="10" width="16" customWidth="1"/>
  </cols>
  <sheetData>
    <row r="1" spans="1:18" x14ac:dyDescent="0.25">
      <c r="A1" s="19" t="s">
        <v>43</v>
      </c>
      <c r="B1" s="19"/>
      <c r="C1" s="19"/>
      <c r="D1" s="19"/>
      <c r="E1" s="19"/>
      <c r="F1" s="19"/>
      <c r="G1" s="17" t="s">
        <v>47</v>
      </c>
      <c r="H1" s="17"/>
      <c r="I1" s="17"/>
      <c r="J1" s="17"/>
      <c r="K1" s="17"/>
      <c r="L1" s="17"/>
      <c r="M1" s="11"/>
      <c r="N1" s="18" t="s">
        <v>46</v>
      </c>
      <c r="O1" s="18"/>
      <c r="P1" s="18"/>
      <c r="Q1" s="18"/>
      <c r="R1" s="18"/>
    </row>
    <row r="2" spans="1:18" s="1" customFormat="1" x14ac:dyDescent="0.25">
      <c r="A2" s="12" t="s">
        <v>60</v>
      </c>
      <c r="B2" s="12" t="s">
        <v>41</v>
      </c>
      <c r="C2" s="12" t="s">
        <v>42</v>
      </c>
      <c r="D2" s="12" t="s">
        <v>19</v>
      </c>
      <c r="E2" s="16" t="s">
        <v>22</v>
      </c>
      <c r="F2" s="12"/>
      <c r="G2" s="12" t="s">
        <v>6</v>
      </c>
      <c r="H2" s="12" t="s">
        <v>5</v>
      </c>
      <c r="I2" s="12" t="s">
        <v>1</v>
      </c>
      <c r="J2" s="12" t="s">
        <v>2</v>
      </c>
      <c r="K2" s="12" t="s">
        <v>19</v>
      </c>
      <c r="L2" s="12" t="s">
        <v>22</v>
      </c>
      <c r="N2" s="13" t="s">
        <v>6</v>
      </c>
      <c r="O2" s="13" t="s">
        <v>41</v>
      </c>
      <c r="P2" s="13" t="s">
        <v>42</v>
      </c>
      <c r="Q2" s="13" t="s">
        <v>19</v>
      </c>
      <c r="R2" s="13" t="s">
        <v>22</v>
      </c>
    </row>
    <row r="3" spans="1:18" x14ac:dyDescent="0.25">
      <c r="A3">
        <v>30</v>
      </c>
      <c r="B3">
        <f>'AKWAKUMA HTS'!H3</f>
        <v>50</v>
      </c>
      <c r="C3">
        <f>'AKWAKUMA HTS'!I3</f>
        <v>142</v>
      </c>
      <c r="D3">
        <f>B3+C3</f>
        <v>192</v>
      </c>
      <c r="E3" s="2">
        <f>B3/D3</f>
        <v>0.26041666666666669</v>
      </c>
      <c r="F3" t="s">
        <v>71</v>
      </c>
      <c r="G3">
        <v>2020</v>
      </c>
      <c r="H3" t="s">
        <v>7</v>
      </c>
      <c r="I3">
        <f>'AKWAKUMA HTS'!N3</f>
        <v>48</v>
      </c>
      <c r="J3">
        <f>'AKWAKUMA HTS'!O3</f>
        <v>61</v>
      </c>
      <c r="K3">
        <f>I3+J3</f>
        <v>109</v>
      </c>
      <c r="L3" s="2">
        <f>I3/K3</f>
        <v>0.44036697247706424</v>
      </c>
      <c r="N3" t="s">
        <v>71</v>
      </c>
      <c r="O3">
        <f>SUM(I3:I14)</f>
        <v>3677</v>
      </c>
      <c r="P3">
        <f>SUM(J3:J14)</f>
        <v>12064</v>
      </c>
      <c r="Q3">
        <f>O3+P3</f>
        <v>15741</v>
      </c>
      <c r="R3" s="2">
        <f>O3/Q3</f>
        <v>0.23359379963153548</v>
      </c>
    </row>
    <row r="4" spans="1:18" x14ac:dyDescent="0.25">
      <c r="A4">
        <v>32</v>
      </c>
      <c r="B4">
        <f>'AKWAKUMA HTS'!H4</f>
        <v>25</v>
      </c>
      <c r="C4">
        <f>'AKWAKUMA HTS'!I4</f>
        <v>72</v>
      </c>
      <c r="D4">
        <f t="shared" ref="D4:D38" si="0">B4+C4</f>
        <v>97</v>
      </c>
      <c r="E4" s="2">
        <f t="shared" ref="E4:E38" si="1">B4/D4</f>
        <v>0.25773195876288657</v>
      </c>
      <c r="F4" t="s">
        <v>71</v>
      </c>
      <c r="G4">
        <v>2020</v>
      </c>
      <c r="H4" t="s">
        <v>8</v>
      </c>
      <c r="I4">
        <f>'AKWAKUMA HTS'!N4</f>
        <v>84</v>
      </c>
      <c r="J4">
        <f>'AKWAKUMA HTS'!O4</f>
        <v>96</v>
      </c>
      <c r="K4">
        <f t="shared" ref="K4:K11" si="2">I4+J4</f>
        <v>180</v>
      </c>
      <c r="L4" s="2">
        <f t="shared" ref="L4:L26" si="3">I4/K4</f>
        <v>0.46666666666666667</v>
      </c>
      <c r="N4" t="s">
        <v>72</v>
      </c>
      <c r="O4">
        <f>SUM(I15:I26)</f>
        <v>186</v>
      </c>
      <c r="P4">
        <f>SUM(J15:J26)</f>
        <v>2039</v>
      </c>
      <c r="Q4">
        <f>O4+P4</f>
        <v>2225</v>
      </c>
      <c r="R4" s="2">
        <f>O4/Q4</f>
        <v>8.3595505617977531E-2</v>
      </c>
    </row>
    <row r="5" spans="1:18" x14ac:dyDescent="0.25">
      <c r="A5">
        <v>33</v>
      </c>
      <c r="B5">
        <f>'AKWAKUMA HTS'!H5</f>
        <v>122</v>
      </c>
      <c r="C5">
        <f>'AKWAKUMA HTS'!I5</f>
        <v>1271</v>
      </c>
      <c r="D5">
        <f t="shared" si="0"/>
        <v>1393</v>
      </c>
      <c r="E5" s="2">
        <f t="shared" si="1"/>
        <v>8.7580760947595121E-2</v>
      </c>
      <c r="F5" t="s">
        <v>71</v>
      </c>
      <c r="G5">
        <v>2020</v>
      </c>
      <c r="H5" t="s">
        <v>9</v>
      </c>
      <c r="I5">
        <f>'AKWAKUMA HTS'!N5</f>
        <v>109</v>
      </c>
      <c r="J5">
        <f>'AKWAKUMA HTS'!O5</f>
        <v>11</v>
      </c>
      <c r="K5">
        <f t="shared" si="2"/>
        <v>120</v>
      </c>
      <c r="L5" s="2">
        <f t="shared" si="3"/>
        <v>0.90833333333333333</v>
      </c>
    </row>
    <row r="6" spans="1:18" x14ac:dyDescent="0.25">
      <c r="A6">
        <v>34</v>
      </c>
      <c r="B6">
        <f>'AKWAKUMA HTS'!H6</f>
        <v>148</v>
      </c>
      <c r="C6">
        <f>'AKWAKUMA HTS'!I6</f>
        <v>1653</v>
      </c>
      <c r="D6">
        <f t="shared" si="0"/>
        <v>1801</v>
      </c>
      <c r="E6" s="2">
        <f t="shared" si="1"/>
        <v>8.2176568573014988E-2</v>
      </c>
      <c r="F6" t="s">
        <v>71</v>
      </c>
      <c r="G6">
        <v>2021</v>
      </c>
      <c r="H6" t="s">
        <v>10</v>
      </c>
      <c r="I6">
        <f>'AKWAKUMA HTS'!N6</f>
        <v>256</v>
      </c>
      <c r="J6">
        <f>'AKWAKUMA HTS'!O6</f>
        <v>109</v>
      </c>
      <c r="K6">
        <f t="shared" si="2"/>
        <v>365</v>
      </c>
      <c r="L6" s="2">
        <f t="shared" si="3"/>
        <v>0.70136986301369864</v>
      </c>
    </row>
    <row r="7" spans="1:18" x14ac:dyDescent="0.25">
      <c r="A7">
        <v>35</v>
      </c>
      <c r="B7">
        <f>'AKWAKUMA HTS'!H7+'MBEIRI HTS'!I3</f>
        <v>127</v>
      </c>
      <c r="C7">
        <f>'AKWAKUMA HTS'!I7+'MBEIRI HTS'!J3</f>
        <v>1409</v>
      </c>
      <c r="D7">
        <f t="shared" si="0"/>
        <v>1536</v>
      </c>
      <c r="E7" s="2">
        <f t="shared" si="1"/>
        <v>8.2682291666666671E-2</v>
      </c>
      <c r="F7" t="s">
        <v>71</v>
      </c>
      <c r="G7">
        <v>2021</v>
      </c>
      <c r="H7" t="s">
        <v>11</v>
      </c>
      <c r="I7">
        <f>'AKWAKUMA HTS'!N7</f>
        <v>418</v>
      </c>
      <c r="J7">
        <f>'AKWAKUMA HTS'!O7</f>
        <v>956</v>
      </c>
      <c r="K7">
        <f t="shared" si="2"/>
        <v>1374</v>
      </c>
      <c r="L7" s="2">
        <f t="shared" si="3"/>
        <v>0.3042212518195051</v>
      </c>
    </row>
    <row r="8" spans="1:18" x14ac:dyDescent="0.25">
      <c r="A8">
        <v>36</v>
      </c>
      <c r="B8">
        <f>'AKWAKUMA HTS'!H8</f>
        <v>98</v>
      </c>
      <c r="C8">
        <f>'AKWAKUMA HTS'!I8</f>
        <v>987</v>
      </c>
      <c r="D8">
        <f t="shared" si="0"/>
        <v>1085</v>
      </c>
      <c r="E8" s="2">
        <f t="shared" si="1"/>
        <v>9.0322580645161285E-2</v>
      </c>
      <c r="F8" t="s">
        <v>71</v>
      </c>
      <c r="G8">
        <v>2021</v>
      </c>
      <c r="H8" t="s">
        <v>27</v>
      </c>
      <c r="I8">
        <f>'AKWAKUMA HTS'!N8</f>
        <v>507</v>
      </c>
      <c r="J8">
        <f>'AKWAKUMA HTS'!O8</f>
        <v>1577</v>
      </c>
      <c r="K8">
        <f t="shared" si="2"/>
        <v>2084</v>
      </c>
      <c r="L8" s="2">
        <f t="shared" si="3"/>
        <v>0.24328214971209214</v>
      </c>
    </row>
    <row r="9" spans="1:18" x14ac:dyDescent="0.25">
      <c r="A9">
        <v>37</v>
      </c>
      <c r="B9">
        <f>'AKWAKUMA HTS'!H9</f>
        <v>66</v>
      </c>
      <c r="C9">
        <f>'AKWAKUMA HTS'!I9</f>
        <v>649</v>
      </c>
      <c r="D9">
        <f t="shared" si="0"/>
        <v>715</v>
      </c>
      <c r="E9" s="2">
        <f t="shared" si="1"/>
        <v>9.2307692307692313E-2</v>
      </c>
      <c r="F9" t="s">
        <v>71</v>
      </c>
      <c r="G9">
        <v>2021</v>
      </c>
      <c r="H9" t="s">
        <v>28</v>
      </c>
      <c r="I9">
        <f>'AKWAKUMA HTS'!N9</f>
        <v>454</v>
      </c>
      <c r="J9">
        <f>'AKWAKUMA HTS'!O9</f>
        <v>55</v>
      </c>
      <c r="K9">
        <f t="shared" si="2"/>
        <v>509</v>
      </c>
      <c r="L9" s="2">
        <f t="shared" si="3"/>
        <v>0.89194499017681728</v>
      </c>
    </row>
    <row r="10" spans="1:18" x14ac:dyDescent="0.25">
      <c r="A10">
        <v>38</v>
      </c>
      <c r="B10">
        <f>'AKWAKUMA HTS'!H10+'MBEIRI HTS'!I4</f>
        <v>177</v>
      </c>
      <c r="C10">
        <f>'AKWAKUMA HTS'!I10+'MBEIRI HTS'!J4</f>
        <v>1795</v>
      </c>
      <c r="D10">
        <f t="shared" si="0"/>
        <v>1972</v>
      </c>
      <c r="E10" s="2">
        <f t="shared" si="1"/>
        <v>8.9756592292089252E-2</v>
      </c>
      <c r="F10" t="s">
        <v>71</v>
      </c>
      <c r="G10">
        <v>2021</v>
      </c>
      <c r="H10" t="s">
        <v>14</v>
      </c>
      <c r="I10">
        <f>'AKWAKUMA HTS'!N10+'MBEIRI HTS'!P3</f>
        <v>155</v>
      </c>
      <c r="J10">
        <f>'AKWAKUMA HTS'!O10+'MBEIRI HTS'!Q3</f>
        <v>50</v>
      </c>
      <c r="K10">
        <f t="shared" si="2"/>
        <v>205</v>
      </c>
      <c r="L10" s="2">
        <f t="shared" si="3"/>
        <v>0.75609756097560976</v>
      </c>
    </row>
    <row r="11" spans="1:18" x14ac:dyDescent="0.25">
      <c r="A11">
        <v>1</v>
      </c>
      <c r="B11">
        <f>'AKWAKUMA HTS'!H11</f>
        <v>35</v>
      </c>
      <c r="C11">
        <f>'AKWAKUMA HTS'!I11</f>
        <v>400</v>
      </c>
      <c r="D11">
        <f t="shared" si="0"/>
        <v>435</v>
      </c>
      <c r="E11" s="2">
        <f t="shared" si="1"/>
        <v>8.0459770114942528E-2</v>
      </c>
      <c r="F11" t="s">
        <v>71</v>
      </c>
      <c r="G11">
        <v>2021</v>
      </c>
      <c r="H11" t="s">
        <v>15</v>
      </c>
      <c r="I11">
        <f>'AKWAKUMA HTS'!N11+'MBEIRI HTS'!P4</f>
        <v>521</v>
      </c>
      <c r="J11">
        <f>'AKWAKUMA HTS'!O11+'MBEIRI HTS'!Q4</f>
        <v>546</v>
      </c>
      <c r="K11">
        <f t="shared" si="2"/>
        <v>1067</v>
      </c>
      <c r="L11" s="2">
        <f t="shared" si="3"/>
        <v>0.48828491096532334</v>
      </c>
    </row>
    <row r="12" spans="1:18" x14ac:dyDescent="0.25">
      <c r="A12">
        <v>2</v>
      </c>
      <c r="B12">
        <f>'AKWAKUMA HTS'!H12+'MBEIRI HTS'!I5</f>
        <v>151</v>
      </c>
      <c r="C12">
        <f>'AKWAKUMA HTS'!I12+'MBEIRI HTS'!J5</f>
        <v>1639</v>
      </c>
      <c r="D12">
        <f t="shared" si="0"/>
        <v>1790</v>
      </c>
      <c r="E12" s="2">
        <f t="shared" si="1"/>
        <v>8.4357541899441335E-2</v>
      </c>
      <c r="F12" t="s">
        <v>71</v>
      </c>
      <c r="G12">
        <v>2021</v>
      </c>
      <c r="H12" t="s">
        <v>16</v>
      </c>
      <c r="I12">
        <f>'AKWAKUMA HTS'!N12+'MBEIRI HTS'!P5</f>
        <v>470</v>
      </c>
      <c r="J12">
        <f>'AKWAKUMA HTS'!O12+'MBEIRI HTS'!Q5</f>
        <v>2178</v>
      </c>
      <c r="K12">
        <f>I12+J12</f>
        <v>2648</v>
      </c>
      <c r="L12" s="2">
        <f t="shared" si="3"/>
        <v>0.17749244712990936</v>
      </c>
    </row>
    <row r="13" spans="1:18" x14ac:dyDescent="0.25">
      <c r="A13">
        <v>3</v>
      </c>
      <c r="B13">
        <f>'AKWAKUMA HTS'!H13+'MBEIRI HTS'!I6</f>
        <v>0</v>
      </c>
      <c r="C13">
        <f>'AKWAKUMA HTS'!I13+'MBEIRI HTS'!J6</f>
        <v>0</v>
      </c>
      <c r="D13">
        <f t="shared" si="0"/>
        <v>0</v>
      </c>
      <c r="E13" s="2" t="e">
        <f t="shared" si="1"/>
        <v>#DIV/0!</v>
      </c>
      <c r="F13" t="s">
        <v>71</v>
      </c>
      <c r="G13">
        <v>2021</v>
      </c>
      <c r="H13" t="s">
        <v>29</v>
      </c>
      <c r="I13">
        <f>'AKWAKUMA HTS'!N13+'MBEIRI HTS'!P6</f>
        <v>256</v>
      </c>
      <c r="J13">
        <f>'AKWAKUMA HTS'!O13+'MBEIRI HTS'!Q6</f>
        <v>2127</v>
      </c>
      <c r="K13">
        <f t="shared" ref="K13:K26" si="4">I13+J13</f>
        <v>2383</v>
      </c>
      <c r="L13" s="2">
        <f t="shared" si="3"/>
        <v>0.10742761225346202</v>
      </c>
    </row>
    <row r="14" spans="1:18" x14ac:dyDescent="0.25">
      <c r="A14">
        <v>4</v>
      </c>
      <c r="B14">
        <f>'AKWAKUMA HTS'!H14+'MBEIRI HTS'!I7</f>
        <v>0</v>
      </c>
      <c r="C14">
        <f>'AKWAKUMA HTS'!I14+'MBEIRI HTS'!J7</f>
        <v>0</v>
      </c>
      <c r="D14">
        <f t="shared" si="0"/>
        <v>0</v>
      </c>
      <c r="E14" s="2" t="e">
        <f t="shared" si="1"/>
        <v>#DIV/0!</v>
      </c>
      <c r="F14" t="s">
        <v>71</v>
      </c>
      <c r="G14">
        <v>2021</v>
      </c>
      <c r="H14" t="s">
        <v>30</v>
      </c>
      <c r="I14">
        <f>'AKWAKUMA HTS'!N14+'MBEIRI HTS'!P7</f>
        <v>399</v>
      </c>
      <c r="J14">
        <f>'AKWAKUMA HTS'!O14+'MBEIRI HTS'!Q7</f>
        <v>4298</v>
      </c>
      <c r="K14">
        <f t="shared" si="4"/>
        <v>4697</v>
      </c>
      <c r="L14" s="2">
        <f t="shared" si="3"/>
        <v>8.4947839046199708E-2</v>
      </c>
    </row>
    <row r="15" spans="1:18" x14ac:dyDescent="0.25">
      <c r="A15">
        <v>5</v>
      </c>
      <c r="B15">
        <f>'AKWAKUMA HTS'!H15+'MBEIRI HTS'!I8</f>
        <v>0</v>
      </c>
      <c r="C15">
        <f>'AKWAKUMA HTS'!I15+'MBEIRI HTS'!J8</f>
        <v>0</v>
      </c>
      <c r="D15">
        <f t="shared" si="0"/>
        <v>0</v>
      </c>
      <c r="E15" s="2" t="e">
        <f t="shared" si="1"/>
        <v>#DIV/0!</v>
      </c>
      <c r="F15" t="s">
        <v>72</v>
      </c>
      <c r="G15">
        <v>2021</v>
      </c>
      <c r="H15" t="s">
        <v>7</v>
      </c>
      <c r="I15">
        <f>'AKWAKUMA HTS'!N15+'MBEIRI HTS'!P8</f>
        <v>186</v>
      </c>
      <c r="J15">
        <f>'AKWAKUMA HTS'!O15+'MBEIRI HTS'!Q8</f>
        <v>2039</v>
      </c>
      <c r="K15">
        <f t="shared" si="4"/>
        <v>2225</v>
      </c>
      <c r="L15" s="2">
        <f t="shared" si="3"/>
        <v>8.3595505617977531E-2</v>
      </c>
    </row>
    <row r="16" spans="1:18" x14ac:dyDescent="0.25">
      <c r="A16">
        <v>6</v>
      </c>
      <c r="B16">
        <f>'AKWAKUMA HTS'!H16+'MBEIRI HTS'!I9</f>
        <v>0</v>
      </c>
      <c r="C16">
        <f>'AKWAKUMA HTS'!I16+'MBEIRI HTS'!J9</f>
        <v>0</v>
      </c>
      <c r="D16">
        <f t="shared" si="0"/>
        <v>0</v>
      </c>
      <c r="E16" s="2" t="e">
        <f t="shared" si="1"/>
        <v>#DIV/0!</v>
      </c>
      <c r="F16" t="s">
        <v>72</v>
      </c>
      <c r="G16">
        <v>2021</v>
      </c>
      <c r="H16" t="s">
        <v>8</v>
      </c>
      <c r="I16">
        <f>'AKWAKUMA HTS'!N16+'MBEIRI HTS'!P9</f>
        <v>0</v>
      </c>
      <c r="J16">
        <f>'AKWAKUMA HTS'!O16+'MBEIRI HTS'!Q9</f>
        <v>0</v>
      </c>
      <c r="K16">
        <f t="shared" si="4"/>
        <v>0</v>
      </c>
      <c r="L16" s="2" t="e">
        <f t="shared" si="3"/>
        <v>#DIV/0!</v>
      </c>
    </row>
    <row r="17" spans="1:12" x14ac:dyDescent="0.25">
      <c r="A17">
        <v>7</v>
      </c>
      <c r="B17">
        <f>'AKWAKUMA HTS'!H17+'MBEIRI HTS'!I10</f>
        <v>0</v>
      </c>
      <c r="C17">
        <f>'AKWAKUMA HTS'!I17+'MBEIRI HTS'!J10</f>
        <v>0</v>
      </c>
      <c r="D17">
        <f t="shared" si="0"/>
        <v>0</v>
      </c>
      <c r="E17" s="2" t="e">
        <f t="shared" si="1"/>
        <v>#DIV/0!</v>
      </c>
      <c r="F17" t="s">
        <v>72</v>
      </c>
      <c r="G17">
        <v>2021</v>
      </c>
      <c r="H17" t="s">
        <v>9</v>
      </c>
      <c r="I17">
        <f>'AKWAKUMA HTS'!N17+'MBEIRI HTS'!P10</f>
        <v>0</v>
      </c>
      <c r="J17">
        <f>'AKWAKUMA HTS'!O17+'MBEIRI HTS'!Q10</f>
        <v>0</v>
      </c>
      <c r="K17">
        <f t="shared" si="4"/>
        <v>0</v>
      </c>
      <c r="L17" s="2" t="e">
        <f t="shared" si="3"/>
        <v>#DIV/0!</v>
      </c>
    </row>
    <row r="18" spans="1:12" x14ac:dyDescent="0.25">
      <c r="A18">
        <v>8</v>
      </c>
      <c r="B18">
        <f>'AKWAKUMA HTS'!H18+'MBEIRI HTS'!I11</f>
        <v>0</v>
      </c>
      <c r="C18">
        <f>'AKWAKUMA HTS'!I18+'MBEIRI HTS'!J11</f>
        <v>0</v>
      </c>
      <c r="D18">
        <f t="shared" si="0"/>
        <v>0</v>
      </c>
      <c r="E18" s="2" t="e">
        <f t="shared" si="1"/>
        <v>#DIV/0!</v>
      </c>
      <c r="F18" t="s">
        <v>72</v>
      </c>
      <c r="G18">
        <v>2022</v>
      </c>
      <c r="H18" t="s">
        <v>10</v>
      </c>
      <c r="I18">
        <f>'AKWAKUMA HTS'!N18+'MBEIRI HTS'!P11</f>
        <v>0</v>
      </c>
      <c r="J18">
        <f>'AKWAKUMA HTS'!O18+'MBEIRI HTS'!Q11</f>
        <v>0</v>
      </c>
      <c r="K18">
        <f t="shared" si="4"/>
        <v>0</v>
      </c>
      <c r="L18" s="2" t="e">
        <f t="shared" si="3"/>
        <v>#DIV/0!</v>
      </c>
    </row>
    <row r="19" spans="1:12" x14ac:dyDescent="0.25">
      <c r="A19">
        <v>9</v>
      </c>
      <c r="B19">
        <f>'AKWAKUMA HTS'!H19+'MBEIRI HTS'!I12</f>
        <v>0</v>
      </c>
      <c r="C19">
        <f>'AKWAKUMA HTS'!I19+'MBEIRI HTS'!J12</f>
        <v>0</v>
      </c>
      <c r="D19">
        <f t="shared" si="0"/>
        <v>0</v>
      </c>
      <c r="E19" s="2" t="e">
        <f t="shared" si="1"/>
        <v>#DIV/0!</v>
      </c>
      <c r="F19" t="s">
        <v>72</v>
      </c>
      <c r="G19">
        <v>2022</v>
      </c>
      <c r="H19" t="s">
        <v>11</v>
      </c>
      <c r="I19">
        <f>'AKWAKUMA HTS'!N19+'MBEIRI HTS'!P12</f>
        <v>0</v>
      </c>
      <c r="J19">
        <f>'AKWAKUMA HTS'!O19+'MBEIRI HTS'!Q12</f>
        <v>0</v>
      </c>
      <c r="K19">
        <f t="shared" si="4"/>
        <v>0</v>
      </c>
      <c r="L19" s="2" t="e">
        <f t="shared" si="3"/>
        <v>#DIV/0!</v>
      </c>
    </row>
    <row r="20" spans="1:12" x14ac:dyDescent="0.25">
      <c r="A20">
        <v>10</v>
      </c>
      <c r="B20">
        <f>'AKWAKUMA HTS'!H20+'MBEIRI HTS'!I13</f>
        <v>0</v>
      </c>
      <c r="C20">
        <f>'AKWAKUMA HTS'!I20+'MBEIRI HTS'!J13</f>
        <v>0</v>
      </c>
      <c r="D20">
        <f t="shared" si="0"/>
        <v>0</v>
      </c>
      <c r="E20" s="2" t="e">
        <f t="shared" si="1"/>
        <v>#DIV/0!</v>
      </c>
      <c r="F20" t="s">
        <v>72</v>
      </c>
      <c r="G20">
        <v>2022</v>
      </c>
      <c r="H20" t="s">
        <v>12</v>
      </c>
      <c r="I20">
        <f>'AKWAKUMA HTS'!N20+'MBEIRI HTS'!P13</f>
        <v>0</v>
      </c>
      <c r="J20">
        <f>'AKWAKUMA HTS'!O20+'MBEIRI HTS'!Q13</f>
        <v>0</v>
      </c>
      <c r="K20">
        <f t="shared" si="4"/>
        <v>0</v>
      </c>
      <c r="L20" s="2" t="e">
        <f t="shared" si="3"/>
        <v>#DIV/0!</v>
      </c>
    </row>
    <row r="21" spans="1:12" x14ac:dyDescent="0.25">
      <c r="A21">
        <v>11</v>
      </c>
      <c r="B21">
        <f>'AKWAKUMA HTS'!H21+'MBEIRI HTS'!I14</f>
        <v>0</v>
      </c>
      <c r="C21">
        <f>'AKWAKUMA HTS'!I21+'MBEIRI HTS'!J14</f>
        <v>0</v>
      </c>
      <c r="D21">
        <f t="shared" si="0"/>
        <v>0</v>
      </c>
      <c r="E21" s="2" t="e">
        <f t="shared" si="1"/>
        <v>#DIV/0!</v>
      </c>
      <c r="F21" t="s">
        <v>72</v>
      </c>
      <c r="G21">
        <v>2022</v>
      </c>
      <c r="H21" t="s">
        <v>13</v>
      </c>
      <c r="I21">
        <f>'AKWAKUMA HTS'!N21+'MBEIRI HTS'!P14</f>
        <v>0</v>
      </c>
      <c r="J21">
        <f>'AKWAKUMA HTS'!O21+'MBEIRI HTS'!Q14</f>
        <v>0</v>
      </c>
      <c r="K21">
        <f t="shared" si="4"/>
        <v>0</v>
      </c>
      <c r="L21" s="2" t="e">
        <f t="shared" si="3"/>
        <v>#DIV/0!</v>
      </c>
    </row>
    <row r="22" spans="1:12" x14ac:dyDescent="0.25">
      <c r="A22">
        <v>12</v>
      </c>
      <c r="B22">
        <f>'AKWAKUMA HTS'!H22+'MBEIRI HTS'!I15</f>
        <v>0</v>
      </c>
      <c r="C22">
        <f>'AKWAKUMA HTS'!I22+'MBEIRI HTS'!J15</f>
        <v>0</v>
      </c>
      <c r="D22">
        <f t="shared" si="0"/>
        <v>0</v>
      </c>
      <c r="E22" s="2" t="e">
        <f t="shared" si="1"/>
        <v>#DIV/0!</v>
      </c>
      <c r="F22" t="s">
        <v>72</v>
      </c>
      <c r="G22">
        <v>2022</v>
      </c>
      <c r="H22" t="s">
        <v>14</v>
      </c>
      <c r="I22">
        <f>'AKWAKUMA HTS'!N22+'MBEIRI HTS'!P15</f>
        <v>0</v>
      </c>
      <c r="J22">
        <f>'AKWAKUMA HTS'!O22+'MBEIRI HTS'!Q15</f>
        <v>0</v>
      </c>
      <c r="K22">
        <f t="shared" si="4"/>
        <v>0</v>
      </c>
      <c r="L22" s="2" t="e">
        <f t="shared" si="3"/>
        <v>#DIV/0!</v>
      </c>
    </row>
    <row r="23" spans="1:12" x14ac:dyDescent="0.25">
      <c r="A23">
        <v>13</v>
      </c>
      <c r="B23">
        <f>'AKWAKUMA HTS'!H23+'MBEIRI HTS'!I16</f>
        <v>0</v>
      </c>
      <c r="C23">
        <f>'AKWAKUMA HTS'!I23+'MBEIRI HTS'!J16</f>
        <v>0</v>
      </c>
      <c r="D23">
        <f t="shared" si="0"/>
        <v>0</v>
      </c>
      <c r="E23" s="2" t="e">
        <f t="shared" si="1"/>
        <v>#DIV/0!</v>
      </c>
      <c r="H23" t="s">
        <v>15</v>
      </c>
      <c r="I23">
        <f>'AKWAKUMA HTS'!N23+'MBEIRI HTS'!P16</f>
        <v>0</v>
      </c>
      <c r="J23">
        <f>'AKWAKUMA HTS'!O23+'MBEIRI HTS'!Q16</f>
        <v>0</v>
      </c>
      <c r="K23">
        <f t="shared" si="4"/>
        <v>0</v>
      </c>
      <c r="L23" s="2" t="e">
        <f t="shared" si="3"/>
        <v>#DIV/0!</v>
      </c>
    </row>
    <row r="24" spans="1:12" x14ac:dyDescent="0.25">
      <c r="A24">
        <v>14</v>
      </c>
      <c r="B24">
        <f>'AKWAKUMA HTS'!H24+'MBEIRI HTS'!I17</f>
        <v>0</v>
      </c>
      <c r="C24">
        <f>'AKWAKUMA HTS'!I24+'MBEIRI HTS'!J17</f>
        <v>0</v>
      </c>
      <c r="D24">
        <f t="shared" si="0"/>
        <v>0</v>
      </c>
      <c r="E24" s="2" t="e">
        <f t="shared" si="1"/>
        <v>#DIV/0!</v>
      </c>
      <c r="H24" t="s">
        <v>16</v>
      </c>
      <c r="I24">
        <f>'AKWAKUMA HTS'!N24+'MBEIRI HTS'!P17</f>
        <v>0</v>
      </c>
      <c r="J24">
        <f>'AKWAKUMA HTS'!O24+'MBEIRI HTS'!Q17</f>
        <v>0</v>
      </c>
      <c r="K24">
        <f t="shared" si="4"/>
        <v>0</v>
      </c>
      <c r="L24" s="2" t="e">
        <f t="shared" si="3"/>
        <v>#DIV/0!</v>
      </c>
    </row>
    <row r="25" spans="1:12" x14ac:dyDescent="0.25">
      <c r="A25">
        <v>15</v>
      </c>
      <c r="B25">
        <f>'AKWAKUMA HTS'!H25+'MBEIRI HTS'!I18</f>
        <v>0</v>
      </c>
      <c r="C25">
        <f>'AKWAKUMA HTS'!I25+'MBEIRI HTS'!J18</f>
        <v>0</v>
      </c>
      <c r="D25">
        <f t="shared" si="0"/>
        <v>0</v>
      </c>
      <c r="E25" s="2" t="e">
        <f t="shared" si="1"/>
        <v>#DIV/0!</v>
      </c>
      <c r="H25" t="s">
        <v>29</v>
      </c>
      <c r="I25">
        <f>'AKWAKUMA HTS'!N25+'MBEIRI HTS'!P18</f>
        <v>0</v>
      </c>
      <c r="J25">
        <f>'AKWAKUMA HTS'!O25+'MBEIRI HTS'!Q18</f>
        <v>0</v>
      </c>
      <c r="K25">
        <f t="shared" si="4"/>
        <v>0</v>
      </c>
      <c r="L25" s="2" t="e">
        <f t="shared" si="3"/>
        <v>#DIV/0!</v>
      </c>
    </row>
    <row r="26" spans="1:12" x14ac:dyDescent="0.25">
      <c r="A26">
        <v>16</v>
      </c>
      <c r="B26">
        <f>'AKWAKUMA HTS'!H26+'MBEIRI HTS'!I19</f>
        <v>0</v>
      </c>
      <c r="C26">
        <f>'AKWAKUMA HTS'!I26+'MBEIRI HTS'!J19</f>
        <v>0</v>
      </c>
      <c r="D26">
        <f t="shared" si="0"/>
        <v>0</v>
      </c>
      <c r="E26" s="2" t="e">
        <f t="shared" si="1"/>
        <v>#DIV/0!</v>
      </c>
      <c r="H26" t="s">
        <v>18</v>
      </c>
      <c r="I26">
        <f>'AKWAKUMA HTS'!N26+'MBEIRI HTS'!P19</f>
        <v>0</v>
      </c>
      <c r="J26">
        <f>'AKWAKUMA HTS'!O26+'MBEIRI HTS'!Q19</f>
        <v>0</v>
      </c>
      <c r="K26">
        <f t="shared" si="4"/>
        <v>0</v>
      </c>
      <c r="L26" s="2" t="e">
        <f t="shared" si="3"/>
        <v>#DIV/0!</v>
      </c>
    </row>
    <row r="27" spans="1:12" x14ac:dyDescent="0.25">
      <c r="A27">
        <v>17</v>
      </c>
      <c r="B27">
        <f>'AKWAKUMA HTS'!H27+'MBEIRI HTS'!I20</f>
        <v>0</v>
      </c>
      <c r="C27">
        <f>'AKWAKUMA HTS'!I27+'MBEIRI HTS'!J20</f>
        <v>0</v>
      </c>
      <c r="D27">
        <f t="shared" si="0"/>
        <v>0</v>
      </c>
      <c r="E27" s="2" t="e">
        <f t="shared" si="1"/>
        <v>#DIV/0!</v>
      </c>
      <c r="G27" t="s">
        <v>19</v>
      </c>
      <c r="I27">
        <f>SUM(I3:I26)</f>
        <v>3863</v>
      </c>
      <c r="J27">
        <f>SUM(J3:J26)</f>
        <v>14103</v>
      </c>
      <c r="K27">
        <f>SUM(K3:K26)</f>
        <v>17966</v>
      </c>
      <c r="L27" s="6">
        <f>I27/K27</f>
        <v>0.21501725481464989</v>
      </c>
    </row>
    <row r="28" spans="1:12" x14ac:dyDescent="0.25">
      <c r="A28">
        <v>18</v>
      </c>
      <c r="B28">
        <f>'AKWAKUMA HTS'!H28+'MBEIRI HTS'!I21</f>
        <v>0</v>
      </c>
      <c r="C28">
        <f>'AKWAKUMA HTS'!I28+'MBEIRI HTS'!J21</f>
        <v>0</v>
      </c>
      <c r="D28">
        <f t="shared" si="0"/>
        <v>0</v>
      </c>
      <c r="E28" s="2" t="e">
        <f t="shared" si="1"/>
        <v>#DIV/0!</v>
      </c>
    </row>
    <row r="29" spans="1:12" x14ac:dyDescent="0.25">
      <c r="A29">
        <v>19</v>
      </c>
      <c r="B29">
        <f>'AKWAKUMA HTS'!H29+'MBEIRI HTS'!I22</f>
        <v>0</v>
      </c>
      <c r="C29">
        <f>'AKWAKUMA HTS'!I29+'MBEIRI HTS'!J22</f>
        <v>0</v>
      </c>
      <c r="D29">
        <f t="shared" si="0"/>
        <v>0</v>
      </c>
      <c r="E29" s="2" t="e">
        <f t="shared" si="1"/>
        <v>#DIV/0!</v>
      </c>
    </row>
    <row r="30" spans="1:12" x14ac:dyDescent="0.25">
      <c r="A30">
        <v>20</v>
      </c>
      <c r="B30">
        <f>'AKWAKUMA HTS'!H30+'MBEIRI HTS'!I23</f>
        <v>0</v>
      </c>
      <c r="C30">
        <f>'AKWAKUMA HTS'!I30+'MBEIRI HTS'!J23</f>
        <v>0</v>
      </c>
      <c r="D30">
        <f t="shared" si="0"/>
        <v>0</v>
      </c>
      <c r="E30" s="2" t="e">
        <f t="shared" si="1"/>
        <v>#DIV/0!</v>
      </c>
    </row>
    <row r="31" spans="1:12" x14ac:dyDescent="0.25">
      <c r="A31">
        <v>21</v>
      </c>
      <c r="B31">
        <f>'AKWAKUMA HTS'!H31+'MBEIRI HTS'!I24</f>
        <v>0</v>
      </c>
      <c r="C31">
        <f>'AKWAKUMA HTS'!I31+'MBEIRI HTS'!J24</f>
        <v>0</v>
      </c>
      <c r="D31">
        <f t="shared" si="0"/>
        <v>0</v>
      </c>
      <c r="E31" s="2" t="e">
        <f t="shared" si="1"/>
        <v>#DIV/0!</v>
      </c>
    </row>
    <row r="32" spans="1:12" x14ac:dyDescent="0.25">
      <c r="A32">
        <v>22</v>
      </c>
      <c r="B32">
        <f>'AKWAKUMA HTS'!H32+'MBEIRI HTS'!I25</f>
        <v>0</v>
      </c>
      <c r="C32">
        <f>'AKWAKUMA HTS'!I32+'MBEIRI HTS'!J25</f>
        <v>0</v>
      </c>
      <c r="D32">
        <f t="shared" si="0"/>
        <v>0</v>
      </c>
      <c r="E32" s="2" t="e">
        <f t="shared" si="1"/>
        <v>#DIV/0!</v>
      </c>
    </row>
    <row r="33" spans="1:5" x14ac:dyDescent="0.25">
      <c r="A33">
        <v>23</v>
      </c>
      <c r="B33">
        <f>'AKWAKUMA HTS'!H33+'MBEIRI HTS'!I26</f>
        <v>0</v>
      </c>
      <c r="C33">
        <f>'AKWAKUMA HTS'!I33+'MBEIRI HTS'!J26</f>
        <v>0</v>
      </c>
      <c r="D33">
        <f t="shared" si="0"/>
        <v>0</v>
      </c>
      <c r="E33" s="2" t="e">
        <f t="shared" si="1"/>
        <v>#DIV/0!</v>
      </c>
    </row>
    <row r="34" spans="1:5" x14ac:dyDescent="0.25">
      <c r="A34">
        <v>24</v>
      </c>
      <c r="B34">
        <f>'AKWAKUMA HTS'!H34+'MBEIRI HTS'!I27</f>
        <v>0</v>
      </c>
      <c r="C34">
        <f>'AKWAKUMA HTS'!I34+'MBEIRI HTS'!J27</f>
        <v>0</v>
      </c>
      <c r="D34">
        <f t="shared" si="0"/>
        <v>0</v>
      </c>
      <c r="E34" s="2" t="e">
        <f t="shared" si="1"/>
        <v>#DIV/0!</v>
      </c>
    </row>
    <row r="35" spans="1:5" x14ac:dyDescent="0.25">
      <c r="A35">
        <v>25</v>
      </c>
      <c r="B35">
        <f>'AKWAKUMA HTS'!H35+'MBEIRI HTS'!I28</f>
        <v>0</v>
      </c>
      <c r="C35">
        <f>'AKWAKUMA HTS'!I35+'MBEIRI HTS'!J28</f>
        <v>0</v>
      </c>
      <c r="D35">
        <f t="shared" si="0"/>
        <v>0</v>
      </c>
      <c r="E35" s="2" t="e">
        <f t="shared" si="1"/>
        <v>#DIV/0!</v>
      </c>
    </row>
    <row r="36" spans="1:5" x14ac:dyDescent="0.25">
      <c r="A36">
        <v>26</v>
      </c>
      <c r="B36">
        <f>'AKWAKUMA HTS'!H36+'MBEIRI HTS'!I29</f>
        <v>0</v>
      </c>
      <c r="C36">
        <f>'AKWAKUMA HTS'!I36+'MBEIRI HTS'!J29</f>
        <v>0</v>
      </c>
      <c r="D36">
        <f t="shared" si="0"/>
        <v>0</v>
      </c>
      <c r="E36" s="2" t="e">
        <f t="shared" si="1"/>
        <v>#DIV/0!</v>
      </c>
    </row>
    <row r="37" spans="1:5" x14ac:dyDescent="0.25">
      <c r="A37">
        <v>27</v>
      </c>
      <c r="B37">
        <f>'AKWAKUMA HTS'!H37+'MBEIRI HTS'!I30</f>
        <v>0</v>
      </c>
      <c r="C37">
        <f>'AKWAKUMA HTS'!I37+'MBEIRI HTS'!J30</f>
        <v>0</v>
      </c>
      <c r="D37">
        <f t="shared" si="0"/>
        <v>0</v>
      </c>
      <c r="E37" s="2" t="e">
        <f t="shared" si="1"/>
        <v>#DIV/0!</v>
      </c>
    </row>
    <row r="38" spans="1:5" x14ac:dyDescent="0.25">
      <c r="A38">
        <v>28</v>
      </c>
      <c r="B38">
        <f>'AKWAKUMA HTS'!H38+'MBEIRI HTS'!I31</f>
        <v>0</v>
      </c>
      <c r="C38">
        <f>'AKWAKUMA HTS'!I38+'MBEIRI HTS'!J31</f>
        <v>0</v>
      </c>
      <c r="D38">
        <f t="shared" si="0"/>
        <v>0</v>
      </c>
      <c r="E38" s="2" t="e">
        <f t="shared" si="1"/>
        <v>#DIV/0!</v>
      </c>
    </row>
  </sheetData>
  <sheetProtection algorithmName="SHA-512" hashValue="x6VLeww3t3L7OY9vGR9VoYIp9mz6M7I3twAiAog2xlVbFb0q7xG5v5sBPs74M6EL9hZH4aavDyTwbyfkxtySwg==" saltValue="6nhaec5K7YprONBA5Otalw==" spinCount="100000" sheet="1" objects="1" scenarios="1"/>
  <mergeCells count="3">
    <mergeCell ref="G1:L1"/>
    <mergeCell ref="N1:R1"/>
    <mergeCell ref="A1:F1"/>
  </mergeCells>
  <phoneticPr fontId="3" type="noConversion"/>
  <pageMargins left="0.7" right="0.7" top="0.75" bottom="0.75" header="0.3" footer="0.3"/>
  <pageSetup orientation="portrait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1D857-344F-440D-93E5-05E0F659C58A}">
  <dimension ref="E22"/>
  <sheetViews>
    <sheetView topLeftCell="A13" workbookViewId="0">
      <selection sqref="A1:A33"/>
    </sheetView>
  </sheetViews>
  <sheetFormatPr defaultRowHeight="15" x14ac:dyDescent="0.25"/>
  <cols>
    <col min="1" max="16384" width="9.140625" style="14"/>
  </cols>
  <sheetData>
    <row r="22" spans="5:5" x14ac:dyDescent="0.25">
      <c r="E22" s="14" t="s">
        <v>48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4C0A4-6689-400A-9DD2-9E631CDF46D8}">
  <sheetPr>
    <tabColor rgb="FFFFC000"/>
  </sheetPr>
  <dimension ref="A1:Q77"/>
  <sheetViews>
    <sheetView tabSelected="1" workbookViewId="0">
      <pane ySplit="1" topLeftCell="A7" activePane="bottomLeft" state="frozen"/>
      <selection pane="bottomLeft" activeCell="R18" sqref="R18"/>
    </sheetView>
  </sheetViews>
  <sheetFormatPr defaultRowHeight="16.5" customHeight="1" x14ac:dyDescent="0.25"/>
  <cols>
    <col min="1" max="1" width="6.28515625" style="1" customWidth="1"/>
    <col min="2" max="2" width="13.140625" customWidth="1"/>
    <col min="3" max="3" width="14.5703125" customWidth="1"/>
    <col min="7" max="7" width="10.140625" style="1" customWidth="1"/>
    <col min="12" max="12" width="9.140625" style="1"/>
    <col min="15" max="15" width="11.7109375" customWidth="1"/>
    <col min="16" max="16" width="17.85546875" customWidth="1"/>
  </cols>
  <sheetData>
    <row r="1" spans="1:17" s="1" customFormat="1" ht="16.5" customHeight="1" x14ac:dyDescent="0.25">
      <c r="A1" s="1" t="s">
        <v>0</v>
      </c>
      <c r="B1" s="20" t="s">
        <v>39</v>
      </c>
      <c r="C1" s="20"/>
      <c r="D1" s="20"/>
      <c r="E1" s="20"/>
      <c r="F1" s="20"/>
      <c r="G1" s="21" t="s">
        <v>43</v>
      </c>
      <c r="H1" s="21"/>
      <c r="I1" s="21"/>
      <c r="J1" s="21"/>
      <c r="K1" s="21"/>
      <c r="L1" s="17" t="s">
        <v>38</v>
      </c>
      <c r="M1" s="17"/>
      <c r="N1" s="17"/>
      <c r="O1" s="17"/>
      <c r="P1" s="17"/>
      <c r="Q1" s="17"/>
    </row>
    <row r="2" spans="1:17" s="10" customFormat="1" ht="16.5" customHeight="1" x14ac:dyDescent="0.25">
      <c r="A2" s="9">
        <v>1</v>
      </c>
      <c r="B2" s="9" t="s">
        <v>20</v>
      </c>
      <c r="C2" s="9" t="s">
        <v>3</v>
      </c>
      <c r="D2" s="9" t="s">
        <v>1</v>
      </c>
      <c r="E2" s="9" t="s">
        <v>2</v>
      </c>
      <c r="F2" s="9" t="s">
        <v>4</v>
      </c>
      <c r="G2" s="9" t="s">
        <v>40</v>
      </c>
      <c r="H2" s="9" t="s">
        <v>34</v>
      </c>
      <c r="I2" s="9" t="s">
        <v>35</v>
      </c>
      <c r="J2" s="9" t="s">
        <v>36</v>
      </c>
      <c r="K2" s="9" t="s">
        <v>37</v>
      </c>
      <c r="L2" s="9" t="s">
        <v>6</v>
      </c>
      <c r="M2" s="9" t="s">
        <v>5</v>
      </c>
      <c r="N2" s="9" t="s">
        <v>1</v>
      </c>
      <c r="O2" s="9" t="s">
        <v>2</v>
      </c>
      <c r="P2" s="9" t="s">
        <v>3</v>
      </c>
      <c r="Q2" s="9" t="s">
        <v>4</v>
      </c>
    </row>
    <row r="3" spans="1:17" ht="16.5" customHeight="1" x14ac:dyDescent="0.25">
      <c r="A3" s="1">
        <v>2</v>
      </c>
      <c r="B3" s="5">
        <v>44294</v>
      </c>
      <c r="C3" s="4">
        <v>95</v>
      </c>
      <c r="D3" s="4">
        <v>25</v>
      </c>
      <c r="E3" s="4">
        <f>C3-D3</f>
        <v>70</v>
      </c>
      <c r="F3" s="2">
        <f>D3/C3</f>
        <v>0.26315789473684209</v>
      </c>
      <c r="G3" s="1">
        <v>30</v>
      </c>
      <c r="H3">
        <f>SUM(D3:D4)</f>
        <v>50</v>
      </c>
      <c r="I3">
        <f>SUM(E3:E4)</f>
        <v>142</v>
      </c>
      <c r="J3">
        <f>H3+I3</f>
        <v>192</v>
      </c>
      <c r="K3" s="2">
        <f>H3/J3</f>
        <v>0.26041666666666669</v>
      </c>
      <c r="L3" s="1">
        <v>2020</v>
      </c>
      <c r="M3" t="s">
        <v>7</v>
      </c>
      <c r="N3">
        <v>48</v>
      </c>
      <c r="O3">
        <v>61</v>
      </c>
      <c r="P3">
        <f>N3+O3</f>
        <v>109</v>
      </c>
      <c r="Q3" s="2">
        <f>N3/P3</f>
        <v>0.44036697247706424</v>
      </c>
    </row>
    <row r="4" spans="1:17" ht="16.5" customHeight="1" x14ac:dyDescent="0.25">
      <c r="A4" s="1">
        <v>3</v>
      </c>
      <c r="B4" s="5">
        <v>44324</v>
      </c>
      <c r="C4" s="4">
        <v>97</v>
      </c>
      <c r="D4" s="4">
        <v>25</v>
      </c>
      <c r="E4" s="4">
        <f>C4-D4</f>
        <v>72</v>
      </c>
      <c r="F4" s="2">
        <f t="shared" ref="F4:F6" si="0">D4/C4</f>
        <v>0.25773195876288657</v>
      </c>
      <c r="G4" s="1">
        <v>31</v>
      </c>
      <c r="H4">
        <f>SUM(D4:D4)</f>
        <v>25</v>
      </c>
      <c r="I4">
        <f>SUM(E4:E4)</f>
        <v>72</v>
      </c>
      <c r="J4">
        <f t="shared" ref="J4:J22" si="1">H4+I4</f>
        <v>97</v>
      </c>
      <c r="K4" s="2">
        <f t="shared" ref="K4:K17" si="2">H4/J4</f>
        <v>0.25773195876288657</v>
      </c>
      <c r="L4" s="1">
        <v>2020</v>
      </c>
      <c r="M4" t="s">
        <v>8</v>
      </c>
      <c r="N4">
        <v>84</v>
      </c>
      <c r="O4">
        <v>96</v>
      </c>
      <c r="P4">
        <f t="shared" ref="P4:P10" si="3">N4+O4</f>
        <v>180</v>
      </c>
      <c r="Q4" s="2">
        <f t="shared" ref="Q4:Q26" si="4">N4/P4</f>
        <v>0.46666666666666667</v>
      </c>
    </row>
    <row r="5" spans="1:17" ht="16.5" customHeight="1" x14ac:dyDescent="0.25">
      <c r="A5" s="1">
        <v>4</v>
      </c>
      <c r="B5" s="5">
        <v>44416</v>
      </c>
      <c r="C5" s="4">
        <v>38</v>
      </c>
      <c r="D5" s="4">
        <v>10</v>
      </c>
      <c r="E5" s="4">
        <f t="shared" ref="E5:E11" si="5">C5-D5</f>
        <v>28</v>
      </c>
      <c r="F5" s="2">
        <f t="shared" si="0"/>
        <v>0.26315789473684209</v>
      </c>
      <c r="G5" s="1">
        <v>33</v>
      </c>
      <c r="H5">
        <f>SUM(D6:D9)</f>
        <v>122</v>
      </c>
      <c r="I5">
        <f>SUM(E6:E9)</f>
        <v>1271</v>
      </c>
      <c r="J5">
        <f t="shared" si="1"/>
        <v>1393</v>
      </c>
      <c r="K5" s="2">
        <f t="shared" si="2"/>
        <v>8.7580760947595121E-2</v>
      </c>
      <c r="L5" s="1">
        <v>2020</v>
      </c>
      <c r="M5" t="s">
        <v>9</v>
      </c>
      <c r="N5">
        <v>109</v>
      </c>
      <c r="O5">
        <v>11</v>
      </c>
      <c r="P5">
        <f t="shared" si="3"/>
        <v>120</v>
      </c>
      <c r="Q5" s="2">
        <f t="shared" si="4"/>
        <v>0.90833333333333333</v>
      </c>
    </row>
    <row r="6" spans="1:17" ht="16.5" customHeight="1" x14ac:dyDescent="0.25">
      <c r="A6" s="1">
        <v>5</v>
      </c>
      <c r="B6" t="s">
        <v>21</v>
      </c>
      <c r="C6">
        <v>369</v>
      </c>
      <c r="D6">
        <v>34</v>
      </c>
      <c r="E6">
        <f t="shared" si="5"/>
        <v>335</v>
      </c>
      <c r="F6" s="2">
        <f t="shared" si="0"/>
        <v>9.2140921409214094E-2</v>
      </c>
      <c r="G6" s="1">
        <v>34</v>
      </c>
      <c r="H6">
        <f>SUM(D10:D13)</f>
        <v>148</v>
      </c>
      <c r="I6">
        <f>SUM(E10:E13)</f>
        <v>1653</v>
      </c>
      <c r="J6">
        <f t="shared" si="1"/>
        <v>1801</v>
      </c>
      <c r="K6" s="2">
        <f t="shared" si="2"/>
        <v>8.2176568573014988E-2</v>
      </c>
      <c r="L6" s="1">
        <v>2021</v>
      </c>
      <c r="M6" t="s">
        <v>10</v>
      </c>
      <c r="N6">
        <v>256</v>
      </c>
      <c r="O6">
        <v>109</v>
      </c>
      <c r="P6">
        <f t="shared" si="3"/>
        <v>365</v>
      </c>
      <c r="Q6" s="2">
        <f t="shared" si="4"/>
        <v>0.70136986301369864</v>
      </c>
    </row>
    <row r="7" spans="1:17" ht="16.5" customHeight="1" x14ac:dyDescent="0.25">
      <c r="A7" s="1">
        <v>6</v>
      </c>
      <c r="B7" t="s">
        <v>23</v>
      </c>
      <c r="C7">
        <v>252</v>
      </c>
      <c r="D7">
        <v>22</v>
      </c>
      <c r="E7">
        <f t="shared" si="5"/>
        <v>230</v>
      </c>
      <c r="F7" s="2">
        <f t="shared" ref="F7:F33" si="6">D7/C7</f>
        <v>8.7301587301587297E-2</v>
      </c>
      <c r="G7" s="1">
        <v>35</v>
      </c>
      <c r="H7">
        <f>SUM(D14:D17)</f>
        <v>97</v>
      </c>
      <c r="I7">
        <f>SUM(E14:E17)</f>
        <v>1087</v>
      </c>
      <c r="J7">
        <f t="shared" si="1"/>
        <v>1184</v>
      </c>
      <c r="K7" s="2">
        <f t="shared" si="2"/>
        <v>8.1925675675675672E-2</v>
      </c>
      <c r="L7" s="1">
        <v>2021</v>
      </c>
      <c r="M7" t="s">
        <v>11</v>
      </c>
      <c r="N7">
        <v>418</v>
      </c>
      <c r="O7">
        <v>956</v>
      </c>
      <c r="P7">
        <f t="shared" si="3"/>
        <v>1374</v>
      </c>
      <c r="Q7" s="2">
        <f t="shared" si="4"/>
        <v>0.3042212518195051</v>
      </c>
    </row>
    <row r="8" spans="1:17" ht="16.5" customHeight="1" x14ac:dyDescent="0.25">
      <c r="A8" s="1">
        <v>7</v>
      </c>
      <c r="B8" t="s">
        <v>24</v>
      </c>
      <c r="C8">
        <v>335</v>
      </c>
      <c r="D8">
        <v>35</v>
      </c>
      <c r="E8">
        <f t="shared" si="5"/>
        <v>300</v>
      </c>
      <c r="F8" s="2">
        <f t="shared" si="6"/>
        <v>0.1044776119402985</v>
      </c>
      <c r="G8" s="1">
        <v>36</v>
      </c>
      <c r="H8">
        <f>SUM(D18:D20)</f>
        <v>98</v>
      </c>
      <c r="I8">
        <f>SUM(E18:E20)</f>
        <v>987</v>
      </c>
      <c r="J8">
        <f t="shared" si="1"/>
        <v>1085</v>
      </c>
      <c r="K8" s="2">
        <f t="shared" si="2"/>
        <v>9.0322580645161285E-2</v>
      </c>
      <c r="L8" s="1">
        <v>2021</v>
      </c>
      <c r="M8" t="s">
        <v>12</v>
      </c>
      <c r="N8">
        <v>507</v>
      </c>
      <c r="O8">
        <v>1577</v>
      </c>
      <c r="P8">
        <f t="shared" si="3"/>
        <v>2084</v>
      </c>
      <c r="Q8" s="2">
        <f t="shared" si="4"/>
        <v>0.24328214971209214</v>
      </c>
    </row>
    <row r="9" spans="1:17" ht="16.5" customHeight="1" x14ac:dyDescent="0.25">
      <c r="A9" s="1">
        <v>8</v>
      </c>
      <c r="B9" t="s">
        <v>25</v>
      </c>
      <c r="C9">
        <v>437</v>
      </c>
      <c r="D9">
        <v>31</v>
      </c>
      <c r="E9">
        <f t="shared" si="5"/>
        <v>406</v>
      </c>
      <c r="F9" s="2">
        <f t="shared" si="6"/>
        <v>7.0938215102974822E-2</v>
      </c>
      <c r="G9" s="1">
        <v>37</v>
      </c>
      <c r="H9">
        <f>SUM(D21:D24)</f>
        <v>66</v>
      </c>
      <c r="I9">
        <f>SUM(E21:E24)</f>
        <v>649</v>
      </c>
      <c r="J9">
        <f t="shared" si="1"/>
        <v>715</v>
      </c>
      <c r="K9" s="2">
        <f t="shared" si="2"/>
        <v>9.2307692307692313E-2</v>
      </c>
      <c r="L9" s="1">
        <v>2021</v>
      </c>
      <c r="M9" t="s">
        <v>13</v>
      </c>
      <c r="N9">
        <v>454</v>
      </c>
      <c r="O9">
        <v>55</v>
      </c>
      <c r="P9">
        <f t="shared" si="3"/>
        <v>509</v>
      </c>
      <c r="Q9" s="2">
        <f t="shared" si="4"/>
        <v>0.89194499017681728</v>
      </c>
    </row>
    <row r="10" spans="1:17" ht="16.5" customHeight="1" x14ac:dyDescent="0.25">
      <c r="A10" s="1">
        <v>9</v>
      </c>
      <c r="B10" t="s">
        <v>26</v>
      </c>
      <c r="C10">
        <v>440</v>
      </c>
      <c r="D10">
        <v>40</v>
      </c>
      <c r="E10">
        <f t="shared" si="5"/>
        <v>400</v>
      </c>
      <c r="F10" s="2">
        <f t="shared" si="6"/>
        <v>9.0909090909090912E-2</v>
      </c>
      <c r="G10" s="1">
        <v>38</v>
      </c>
      <c r="H10">
        <f>SUM(D25:D28)</f>
        <v>127</v>
      </c>
      <c r="I10">
        <f>SUM(E25:E28)</f>
        <v>1295</v>
      </c>
      <c r="J10">
        <f t="shared" si="1"/>
        <v>1422</v>
      </c>
      <c r="K10" s="2">
        <f t="shared" si="2"/>
        <v>8.9310829817158932E-2</v>
      </c>
      <c r="L10" s="1">
        <v>2021</v>
      </c>
      <c r="M10" t="s">
        <v>14</v>
      </c>
      <c r="N10">
        <v>155</v>
      </c>
      <c r="O10">
        <v>50</v>
      </c>
      <c r="P10">
        <f t="shared" si="3"/>
        <v>205</v>
      </c>
      <c r="Q10" s="2">
        <f>N10/P10</f>
        <v>0.75609756097560976</v>
      </c>
    </row>
    <row r="11" spans="1:17" ht="16.5" customHeight="1" x14ac:dyDescent="0.25">
      <c r="A11" s="1">
        <v>10</v>
      </c>
      <c r="B11" s="3">
        <v>44205</v>
      </c>
      <c r="C11">
        <v>380</v>
      </c>
      <c r="D11">
        <v>35</v>
      </c>
      <c r="E11">
        <f t="shared" si="5"/>
        <v>345</v>
      </c>
      <c r="F11" s="2">
        <f t="shared" si="6"/>
        <v>9.2105263157894732E-2</v>
      </c>
      <c r="G11" s="1">
        <v>1</v>
      </c>
      <c r="H11">
        <f>SUM(D29:D29)</f>
        <v>35</v>
      </c>
      <c r="I11">
        <f>SUM(E29:E29)</f>
        <v>400</v>
      </c>
      <c r="J11">
        <f t="shared" si="1"/>
        <v>435</v>
      </c>
      <c r="K11" s="2">
        <f t="shared" si="2"/>
        <v>8.0459770114942528E-2</v>
      </c>
      <c r="L11" s="1">
        <v>2021</v>
      </c>
      <c r="M11" t="s">
        <v>15</v>
      </c>
      <c r="N11">
        <v>355</v>
      </c>
      <c r="O11">
        <v>106</v>
      </c>
      <c r="P11">
        <f>N11+O11</f>
        <v>461</v>
      </c>
      <c r="Q11" s="2">
        <f t="shared" si="4"/>
        <v>0.77006507592190887</v>
      </c>
    </row>
    <row r="12" spans="1:17" ht="16.5" customHeight="1" x14ac:dyDescent="0.25">
      <c r="A12" s="1">
        <v>11</v>
      </c>
      <c r="B12" s="3">
        <v>44236</v>
      </c>
      <c r="C12">
        <v>433</v>
      </c>
      <c r="D12">
        <v>33</v>
      </c>
      <c r="E12">
        <f t="shared" ref="E12:E33" si="7">C12-D12</f>
        <v>400</v>
      </c>
      <c r="F12" s="2">
        <f t="shared" si="6"/>
        <v>7.6212471131639717E-2</v>
      </c>
      <c r="G12" s="1">
        <v>2</v>
      </c>
      <c r="H12">
        <f>SUM(D30:D33)</f>
        <v>101</v>
      </c>
      <c r="I12">
        <f>SUM(E30:E33)</f>
        <v>1136</v>
      </c>
      <c r="J12">
        <f t="shared" si="1"/>
        <v>1237</v>
      </c>
      <c r="K12" s="2">
        <f t="shared" si="2"/>
        <v>8.1649151172190779E-2</v>
      </c>
      <c r="L12" s="1">
        <v>2021</v>
      </c>
      <c r="M12" t="s">
        <v>16</v>
      </c>
      <c r="N12">
        <v>150</v>
      </c>
      <c r="O12">
        <v>1291</v>
      </c>
      <c r="P12">
        <f t="shared" ref="P12:P26" si="8">N12+O12</f>
        <v>1441</v>
      </c>
      <c r="Q12" s="2">
        <f t="shared" si="4"/>
        <v>0.1040943789035392</v>
      </c>
    </row>
    <row r="13" spans="1:17" ht="16.5" customHeight="1" x14ac:dyDescent="0.25">
      <c r="A13" s="1">
        <v>12</v>
      </c>
      <c r="B13" s="3">
        <v>44264</v>
      </c>
      <c r="C13">
        <v>548</v>
      </c>
      <c r="D13">
        <v>40</v>
      </c>
      <c r="E13">
        <f t="shared" si="7"/>
        <v>508</v>
      </c>
      <c r="F13" s="2">
        <f t="shared" si="6"/>
        <v>7.2992700729927001E-2</v>
      </c>
      <c r="G13" s="1">
        <v>3</v>
      </c>
      <c r="H13">
        <f>SUM(D34:D38)</f>
        <v>0</v>
      </c>
      <c r="I13">
        <f>SUM(E34:E38)</f>
        <v>0</v>
      </c>
      <c r="J13">
        <f t="shared" si="1"/>
        <v>0</v>
      </c>
      <c r="K13" s="2" t="e">
        <f t="shared" si="2"/>
        <v>#DIV/0!</v>
      </c>
      <c r="L13" s="1">
        <v>2021</v>
      </c>
      <c r="M13" t="s">
        <v>17</v>
      </c>
      <c r="N13">
        <f>SUM(D3:D10)</f>
        <v>222</v>
      </c>
      <c r="O13">
        <f>SUM(E3:E10)</f>
        <v>1841</v>
      </c>
      <c r="P13">
        <f>N13+O13</f>
        <v>2063</v>
      </c>
      <c r="Q13" s="2">
        <f t="shared" si="4"/>
        <v>0.10761027629665536</v>
      </c>
    </row>
    <row r="14" spans="1:17" ht="16.5" customHeight="1" x14ac:dyDescent="0.25">
      <c r="A14" s="1">
        <v>13</v>
      </c>
      <c r="B14" s="3">
        <v>44386</v>
      </c>
      <c r="C14">
        <v>232</v>
      </c>
      <c r="D14">
        <v>20</v>
      </c>
      <c r="E14">
        <f t="shared" si="7"/>
        <v>212</v>
      </c>
      <c r="F14" s="2">
        <f t="shared" si="6"/>
        <v>8.6206896551724144E-2</v>
      </c>
      <c r="G14" s="1">
        <v>4</v>
      </c>
      <c r="H14">
        <f>SUM(D39:D43)</f>
        <v>0</v>
      </c>
      <c r="I14">
        <f>SUM(E39:E43)</f>
        <v>0</v>
      </c>
      <c r="J14">
        <f t="shared" si="1"/>
        <v>0</v>
      </c>
      <c r="K14" s="2" t="e">
        <f t="shared" si="2"/>
        <v>#DIV/0!</v>
      </c>
      <c r="L14" s="1">
        <v>2021</v>
      </c>
      <c r="M14" t="s">
        <v>18</v>
      </c>
      <c r="N14">
        <f>SUM(D11:D24)</f>
        <v>369</v>
      </c>
      <c r="O14">
        <f>SUM(E11:E24)</f>
        <v>3976</v>
      </c>
      <c r="P14">
        <f t="shared" si="8"/>
        <v>4345</v>
      </c>
      <c r="Q14" s="2">
        <f t="shared" si="4"/>
        <v>8.4925201380897583E-2</v>
      </c>
    </row>
    <row r="15" spans="1:17" ht="16.5" customHeight="1" x14ac:dyDescent="0.25">
      <c r="A15" s="1">
        <v>14</v>
      </c>
      <c r="B15" s="3">
        <v>44417</v>
      </c>
      <c r="C15">
        <v>327</v>
      </c>
      <c r="D15">
        <v>27</v>
      </c>
      <c r="E15">
        <f t="shared" si="7"/>
        <v>300</v>
      </c>
      <c r="F15" s="2">
        <f t="shared" si="6"/>
        <v>8.2568807339449546E-2</v>
      </c>
      <c r="G15" s="1">
        <v>5</v>
      </c>
      <c r="H15">
        <f>SUM(D43:D48)</f>
        <v>0</v>
      </c>
      <c r="I15">
        <f>SUM(E43:E48)</f>
        <v>0</v>
      </c>
      <c r="J15">
        <f t="shared" si="1"/>
        <v>0</v>
      </c>
      <c r="K15" s="2" t="e">
        <f t="shared" si="2"/>
        <v>#DIV/0!</v>
      </c>
      <c r="L15" s="1">
        <v>2021</v>
      </c>
      <c r="M15" t="s">
        <v>7</v>
      </c>
      <c r="N15">
        <f>SUM(D29:D43)</f>
        <v>136</v>
      </c>
      <c r="O15">
        <f>SUM(E29:E43)</f>
        <v>1536</v>
      </c>
      <c r="P15">
        <f t="shared" si="8"/>
        <v>1672</v>
      </c>
      <c r="Q15" s="2">
        <f t="shared" si="4"/>
        <v>8.1339712918660281E-2</v>
      </c>
    </row>
    <row r="16" spans="1:17" ht="16.5" customHeight="1" x14ac:dyDescent="0.25">
      <c r="A16" s="1">
        <v>15</v>
      </c>
      <c r="B16" s="3">
        <v>44448</v>
      </c>
      <c r="C16">
        <v>352</v>
      </c>
      <c r="D16">
        <v>27</v>
      </c>
      <c r="E16">
        <f t="shared" si="7"/>
        <v>325</v>
      </c>
      <c r="F16" s="2">
        <f t="shared" si="6"/>
        <v>7.6704545454545456E-2</v>
      </c>
      <c r="G16" s="1">
        <v>6</v>
      </c>
      <c r="H16">
        <f>SUM(D49:D53)</f>
        <v>0</v>
      </c>
      <c r="I16">
        <f>SUM(E49:E53)</f>
        <v>0</v>
      </c>
      <c r="J16">
        <f t="shared" si="1"/>
        <v>0</v>
      </c>
      <c r="K16" s="2" t="e">
        <f t="shared" si="2"/>
        <v>#DIV/0!</v>
      </c>
      <c r="L16" s="1">
        <v>2021</v>
      </c>
      <c r="M16" t="s">
        <v>8</v>
      </c>
      <c r="N16">
        <f>SUM(D44:D65)</f>
        <v>0</v>
      </c>
      <c r="O16">
        <f>SUM(E43:E65)</f>
        <v>0</v>
      </c>
      <c r="P16">
        <f t="shared" si="8"/>
        <v>0</v>
      </c>
      <c r="Q16" s="2" t="e">
        <f t="shared" si="4"/>
        <v>#DIV/0!</v>
      </c>
    </row>
    <row r="17" spans="1:17" ht="16.5" customHeight="1" x14ac:dyDescent="0.25">
      <c r="A17" s="1">
        <v>16</v>
      </c>
      <c r="B17" s="3">
        <v>44478</v>
      </c>
      <c r="C17">
        <v>273</v>
      </c>
      <c r="D17">
        <v>23</v>
      </c>
      <c r="E17">
        <f t="shared" si="7"/>
        <v>250</v>
      </c>
      <c r="F17" s="2">
        <f t="shared" si="6"/>
        <v>8.4249084249084255E-2</v>
      </c>
      <c r="G17" s="1">
        <v>7</v>
      </c>
      <c r="H17">
        <f>SUM(D54:D58)</f>
        <v>0</v>
      </c>
      <c r="I17">
        <f>SUM(E54:E58)</f>
        <v>0</v>
      </c>
      <c r="J17">
        <f t="shared" si="1"/>
        <v>0</v>
      </c>
      <c r="K17" s="2" t="e">
        <f t="shared" si="2"/>
        <v>#DIV/0!</v>
      </c>
      <c r="L17" s="1">
        <v>2021</v>
      </c>
      <c r="M17" t="s">
        <v>9</v>
      </c>
      <c r="N17">
        <f>SUM(D66:D77)</f>
        <v>0</v>
      </c>
      <c r="O17">
        <f t="shared" ref="O17:O26" si="9">SUM(E44:E66)</f>
        <v>0</v>
      </c>
      <c r="P17">
        <f t="shared" si="8"/>
        <v>0</v>
      </c>
      <c r="Q17" s="2" t="e">
        <f t="shared" si="4"/>
        <v>#DIV/0!</v>
      </c>
    </row>
    <row r="18" spans="1:17" ht="16.5" customHeight="1" x14ac:dyDescent="0.25">
      <c r="A18" s="1">
        <v>17</v>
      </c>
      <c r="B18" s="3" t="s">
        <v>31</v>
      </c>
      <c r="C18">
        <v>224</v>
      </c>
      <c r="D18">
        <v>24</v>
      </c>
      <c r="E18">
        <f t="shared" si="7"/>
        <v>200</v>
      </c>
      <c r="F18" s="2">
        <f t="shared" si="6"/>
        <v>0.10714285714285714</v>
      </c>
      <c r="G18" s="1">
        <v>8</v>
      </c>
      <c r="H18">
        <f>SUM(D59:D63)</f>
        <v>0</v>
      </c>
      <c r="I18">
        <f>SUM(E59:E63)</f>
        <v>0</v>
      </c>
      <c r="J18">
        <f t="shared" si="1"/>
        <v>0</v>
      </c>
      <c r="K18" s="2"/>
      <c r="L18" s="1">
        <v>2022</v>
      </c>
      <c r="M18" t="s">
        <v>10</v>
      </c>
      <c r="N18">
        <f t="shared" ref="N18:N26" si="10">SUM(D46:D67)</f>
        <v>0</v>
      </c>
      <c r="O18">
        <f t="shared" si="9"/>
        <v>0</v>
      </c>
      <c r="P18">
        <f t="shared" si="8"/>
        <v>0</v>
      </c>
      <c r="Q18" s="2" t="e">
        <f t="shared" si="4"/>
        <v>#DIV/0!</v>
      </c>
    </row>
    <row r="19" spans="1:17" ht="16.5" customHeight="1" x14ac:dyDescent="0.25">
      <c r="A19" s="1">
        <v>18</v>
      </c>
      <c r="B19" s="3" t="s">
        <v>32</v>
      </c>
      <c r="C19">
        <v>451</v>
      </c>
      <c r="D19">
        <v>39</v>
      </c>
      <c r="E19">
        <f t="shared" si="7"/>
        <v>412</v>
      </c>
      <c r="F19" s="2">
        <f t="shared" si="6"/>
        <v>8.6474501108647447E-2</v>
      </c>
      <c r="G19" s="1">
        <v>9</v>
      </c>
      <c r="H19">
        <f>SUM(D64:D68)</f>
        <v>0</v>
      </c>
      <c r="I19">
        <f>SUM(E64:E68)</f>
        <v>0</v>
      </c>
      <c r="J19">
        <f t="shared" si="1"/>
        <v>0</v>
      </c>
      <c r="K19" s="2"/>
      <c r="L19" s="1">
        <v>2022</v>
      </c>
      <c r="M19" t="s">
        <v>11</v>
      </c>
      <c r="N19">
        <f t="shared" si="10"/>
        <v>0</v>
      </c>
      <c r="O19">
        <f t="shared" si="9"/>
        <v>0</v>
      </c>
      <c r="P19">
        <f t="shared" si="8"/>
        <v>0</v>
      </c>
      <c r="Q19" s="2" t="e">
        <f t="shared" si="4"/>
        <v>#DIV/0!</v>
      </c>
    </row>
    <row r="20" spans="1:17" ht="16.5" customHeight="1" x14ac:dyDescent="0.25">
      <c r="A20" s="1">
        <v>19</v>
      </c>
      <c r="B20" s="3" t="s">
        <v>33</v>
      </c>
      <c r="C20">
        <v>410</v>
      </c>
      <c r="D20">
        <v>35</v>
      </c>
      <c r="E20">
        <f t="shared" si="7"/>
        <v>375</v>
      </c>
      <c r="F20" s="2">
        <f t="shared" si="6"/>
        <v>8.5365853658536592E-2</v>
      </c>
      <c r="G20" s="1">
        <v>10</v>
      </c>
      <c r="H20" s="2"/>
      <c r="I20" s="2"/>
      <c r="J20">
        <f t="shared" si="1"/>
        <v>0</v>
      </c>
      <c r="K20" s="2"/>
      <c r="L20" s="1">
        <v>2022</v>
      </c>
      <c r="M20" t="s">
        <v>12</v>
      </c>
      <c r="N20">
        <f t="shared" si="10"/>
        <v>0</v>
      </c>
      <c r="O20">
        <f t="shared" si="9"/>
        <v>0</v>
      </c>
      <c r="P20">
        <f t="shared" si="8"/>
        <v>0</v>
      </c>
      <c r="Q20" s="2" t="e">
        <f t="shared" si="4"/>
        <v>#DIV/0!</v>
      </c>
    </row>
    <row r="21" spans="1:17" ht="16.5" customHeight="1" x14ac:dyDescent="0.25">
      <c r="A21" s="1">
        <v>20</v>
      </c>
      <c r="B21" s="3" t="s">
        <v>49</v>
      </c>
      <c r="C21">
        <v>118</v>
      </c>
      <c r="D21">
        <v>9</v>
      </c>
      <c r="E21">
        <f t="shared" si="7"/>
        <v>109</v>
      </c>
      <c r="F21" s="2">
        <f t="shared" si="6"/>
        <v>7.6271186440677971E-2</v>
      </c>
      <c r="G21" s="1">
        <v>11</v>
      </c>
      <c r="H21" s="2"/>
      <c r="I21" s="2"/>
      <c r="J21">
        <f t="shared" si="1"/>
        <v>0</v>
      </c>
      <c r="K21" s="2"/>
      <c r="L21" s="1">
        <v>2022</v>
      </c>
      <c r="M21" t="s">
        <v>13</v>
      </c>
      <c r="N21">
        <f t="shared" si="10"/>
        <v>0</v>
      </c>
      <c r="O21">
        <f t="shared" si="9"/>
        <v>0</v>
      </c>
      <c r="P21">
        <f t="shared" si="8"/>
        <v>0</v>
      </c>
      <c r="Q21" s="2" t="e">
        <f t="shared" si="4"/>
        <v>#DIV/0!</v>
      </c>
    </row>
    <row r="22" spans="1:17" ht="16.5" customHeight="1" x14ac:dyDescent="0.25">
      <c r="A22" s="1">
        <v>21</v>
      </c>
      <c r="B22" s="3" t="s">
        <v>50</v>
      </c>
      <c r="C22">
        <v>282</v>
      </c>
      <c r="D22">
        <v>26</v>
      </c>
      <c r="E22">
        <f t="shared" si="7"/>
        <v>256</v>
      </c>
      <c r="F22" s="2">
        <f t="shared" si="6"/>
        <v>9.2198581560283682E-2</v>
      </c>
      <c r="G22" s="1">
        <v>12</v>
      </c>
      <c r="H22" s="2"/>
      <c r="I22" s="2"/>
      <c r="J22">
        <f t="shared" si="1"/>
        <v>0</v>
      </c>
      <c r="K22" s="2"/>
      <c r="L22" s="1">
        <v>2022</v>
      </c>
      <c r="M22" t="s">
        <v>14</v>
      </c>
      <c r="N22">
        <f t="shared" si="10"/>
        <v>0</v>
      </c>
      <c r="O22">
        <f t="shared" si="9"/>
        <v>0</v>
      </c>
      <c r="P22">
        <f t="shared" si="8"/>
        <v>0</v>
      </c>
      <c r="Q22" s="2" t="e">
        <f t="shared" si="4"/>
        <v>#DIV/0!</v>
      </c>
    </row>
    <row r="23" spans="1:17" ht="16.5" customHeight="1" x14ac:dyDescent="0.25">
      <c r="A23" s="1">
        <v>22</v>
      </c>
      <c r="B23" s="3" t="s">
        <v>51</v>
      </c>
      <c r="C23">
        <v>165</v>
      </c>
      <c r="D23">
        <v>15</v>
      </c>
      <c r="E23">
        <f t="shared" si="7"/>
        <v>150</v>
      </c>
      <c r="F23" s="2">
        <f t="shared" si="6"/>
        <v>9.0909090909090912E-2</v>
      </c>
      <c r="G23" s="1">
        <v>13</v>
      </c>
      <c r="L23" s="1">
        <v>2022</v>
      </c>
      <c r="M23" t="s">
        <v>15</v>
      </c>
      <c r="N23">
        <f t="shared" si="10"/>
        <v>0</v>
      </c>
      <c r="O23">
        <f t="shared" si="9"/>
        <v>0</v>
      </c>
      <c r="P23">
        <f t="shared" si="8"/>
        <v>0</v>
      </c>
      <c r="Q23" s="2" t="e">
        <f t="shared" si="4"/>
        <v>#DIV/0!</v>
      </c>
    </row>
    <row r="24" spans="1:17" ht="16.5" customHeight="1" x14ac:dyDescent="0.25">
      <c r="A24" s="1">
        <v>23</v>
      </c>
      <c r="B24" s="3" t="s">
        <v>52</v>
      </c>
      <c r="C24">
        <v>150</v>
      </c>
      <c r="D24">
        <v>16</v>
      </c>
      <c r="E24">
        <f t="shared" si="7"/>
        <v>134</v>
      </c>
      <c r="F24" s="2">
        <f t="shared" si="6"/>
        <v>0.10666666666666667</v>
      </c>
      <c r="G24" s="1">
        <v>14</v>
      </c>
      <c r="L24" s="1">
        <v>2022</v>
      </c>
      <c r="M24" t="s">
        <v>16</v>
      </c>
      <c r="N24">
        <f t="shared" si="10"/>
        <v>0</v>
      </c>
      <c r="O24">
        <f t="shared" si="9"/>
        <v>0</v>
      </c>
      <c r="P24">
        <f t="shared" si="8"/>
        <v>0</v>
      </c>
      <c r="Q24" s="2" t="e">
        <f t="shared" si="4"/>
        <v>#DIV/0!</v>
      </c>
    </row>
    <row r="25" spans="1:17" ht="16.5" customHeight="1" x14ac:dyDescent="0.25">
      <c r="A25" s="1">
        <v>24</v>
      </c>
      <c r="B25" s="3" t="s">
        <v>53</v>
      </c>
      <c r="C25">
        <v>426</v>
      </c>
      <c r="D25">
        <v>36</v>
      </c>
      <c r="E25">
        <f t="shared" si="7"/>
        <v>390</v>
      </c>
      <c r="F25" s="2">
        <f t="shared" si="6"/>
        <v>8.4507042253521125E-2</v>
      </c>
      <c r="G25" s="1">
        <v>15</v>
      </c>
      <c r="L25" s="1">
        <v>2022</v>
      </c>
      <c r="M25" t="s">
        <v>17</v>
      </c>
      <c r="N25">
        <f t="shared" si="10"/>
        <v>0</v>
      </c>
      <c r="O25">
        <f t="shared" si="9"/>
        <v>0</v>
      </c>
      <c r="P25">
        <f t="shared" si="8"/>
        <v>0</v>
      </c>
      <c r="Q25" s="2" t="e">
        <f t="shared" si="4"/>
        <v>#DIV/0!</v>
      </c>
    </row>
    <row r="26" spans="1:17" ht="16.5" customHeight="1" x14ac:dyDescent="0.25">
      <c r="A26" s="1">
        <v>25</v>
      </c>
      <c r="B26" s="3" t="s">
        <v>54</v>
      </c>
      <c r="C26">
        <v>331</v>
      </c>
      <c r="D26">
        <v>31</v>
      </c>
      <c r="E26">
        <f t="shared" si="7"/>
        <v>300</v>
      </c>
      <c r="F26" s="2">
        <f t="shared" si="6"/>
        <v>9.3655589123867067E-2</v>
      </c>
      <c r="G26" s="1">
        <v>16</v>
      </c>
      <c r="L26" s="1">
        <v>2022</v>
      </c>
      <c r="M26" t="s">
        <v>18</v>
      </c>
      <c r="N26">
        <f t="shared" si="10"/>
        <v>0</v>
      </c>
      <c r="O26">
        <f t="shared" si="9"/>
        <v>0</v>
      </c>
      <c r="P26">
        <f t="shared" si="8"/>
        <v>0</v>
      </c>
      <c r="Q26" s="2" t="e">
        <f t="shared" si="4"/>
        <v>#DIV/0!</v>
      </c>
    </row>
    <row r="27" spans="1:17" ht="16.5" customHeight="1" x14ac:dyDescent="0.25">
      <c r="A27" s="1">
        <v>26</v>
      </c>
      <c r="B27" s="3" t="s">
        <v>55</v>
      </c>
      <c r="C27">
        <v>385</v>
      </c>
      <c r="D27">
        <v>35</v>
      </c>
      <c r="E27">
        <f t="shared" si="7"/>
        <v>350</v>
      </c>
      <c r="F27" s="2">
        <f t="shared" si="6"/>
        <v>9.0909090909090912E-2</v>
      </c>
      <c r="G27" s="1">
        <v>17</v>
      </c>
      <c r="L27" s="1" t="s">
        <v>19</v>
      </c>
      <c r="N27">
        <f>SUM(N3:N26)</f>
        <v>3263</v>
      </c>
      <c r="O27">
        <f>SUM(O3:O26)</f>
        <v>11665</v>
      </c>
      <c r="P27">
        <f>SUM(P3:P26)</f>
        <v>14928</v>
      </c>
      <c r="Q27" s="2">
        <f>N27/P27</f>
        <v>0.21858252947481244</v>
      </c>
    </row>
    <row r="28" spans="1:17" ht="16.5" customHeight="1" x14ac:dyDescent="0.25">
      <c r="A28" s="1">
        <v>27</v>
      </c>
      <c r="B28" s="3" t="s">
        <v>56</v>
      </c>
      <c r="C28">
        <v>280</v>
      </c>
      <c r="D28">
        <v>25</v>
      </c>
      <c r="E28">
        <f t="shared" si="7"/>
        <v>255</v>
      </c>
      <c r="F28" s="2">
        <f t="shared" si="6"/>
        <v>8.9285714285714288E-2</v>
      </c>
      <c r="G28" s="1">
        <v>18</v>
      </c>
    </row>
    <row r="29" spans="1:17" ht="16.5" customHeight="1" x14ac:dyDescent="0.25">
      <c r="A29" s="1">
        <v>28</v>
      </c>
      <c r="B29" s="3">
        <v>44326</v>
      </c>
      <c r="C29">
        <v>435</v>
      </c>
      <c r="D29">
        <v>35</v>
      </c>
      <c r="E29">
        <f t="shared" si="7"/>
        <v>400</v>
      </c>
      <c r="F29" s="2">
        <f t="shared" si="6"/>
        <v>8.0459770114942528E-2</v>
      </c>
      <c r="G29" s="1">
        <v>19</v>
      </c>
    </row>
    <row r="30" spans="1:17" ht="16.5" customHeight="1" x14ac:dyDescent="0.25">
      <c r="A30" s="1">
        <v>29</v>
      </c>
      <c r="B30" s="3">
        <v>44540</v>
      </c>
      <c r="C30">
        <v>603</v>
      </c>
      <c r="D30">
        <v>37</v>
      </c>
      <c r="E30">
        <f t="shared" si="7"/>
        <v>566</v>
      </c>
      <c r="F30" s="2">
        <f t="shared" si="6"/>
        <v>6.1359867330016582E-2</v>
      </c>
      <c r="G30" s="1">
        <v>20</v>
      </c>
    </row>
    <row r="31" spans="1:17" ht="16.5" customHeight="1" x14ac:dyDescent="0.25">
      <c r="A31" s="1">
        <v>30</v>
      </c>
      <c r="B31" s="3" t="s">
        <v>57</v>
      </c>
      <c r="C31">
        <v>279</v>
      </c>
      <c r="D31">
        <v>29</v>
      </c>
      <c r="E31">
        <f t="shared" si="7"/>
        <v>250</v>
      </c>
      <c r="F31" s="2">
        <f t="shared" si="6"/>
        <v>0.1039426523297491</v>
      </c>
      <c r="G31" s="1">
        <v>21</v>
      </c>
    </row>
    <row r="32" spans="1:17" ht="16.5" customHeight="1" x14ac:dyDescent="0.25">
      <c r="A32" s="1">
        <v>31</v>
      </c>
      <c r="B32" s="3" t="s">
        <v>58</v>
      </c>
      <c r="C32">
        <v>240</v>
      </c>
      <c r="D32">
        <v>20</v>
      </c>
      <c r="E32">
        <f t="shared" si="7"/>
        <v>220</v>
      </c>
      <c r="F32" s="2">
        <f t="shared" si="6"/>
        <v>8.3333333333333329E-2</v>
      </c>
      <c r="G32" s="1">
        <v>22</v>
      </c>
    </row>
    <row r="33" spans="1:7" ht="16.5" customHeight="1" x14ac:dyDescent="0.25">
      <c r="A33" s="1">
        <v>32</v>
      </c>
      <c r="B33" s="3" t="s">
        <v>59</v>
      </c>
      <c r="C33">
        <v>115</v>
      </c>
      <c r="D33">
        <v>15</v>
      </c>
      <c r="E33">
        <f t="shared" si="7"/>
        <v>100</v>
      </c>
      <c r="F33" s="15">
        <f t="shared" si="6"/>
        <v>0.13043478260869565</v>
      </c>
      <c r="G33" s="1">
        <v>23</v>
      </c>
    </row>
    <row r="34" spans="1:7" ht="16.5" customHeight="1" x14ac:dyDescent="0.25">
      <c r="A34" s="1">
        <v>33</v>
      </c>
      <c r="B34" s="3" t="s">
        <v>61</v>
      </c>
      <c r="G34" s="1">
        <v>24</v>
      </c>
    </row>
    <row r="35" spans="1:7" ht="16.5" customHeight="1" x14ac:dyDescent="0.25">
      <c r="A35" s="1">
        <v>34</v>
      </c>
      <c r="B35" s="3" t="s">
        <v>62</v>
      </c>
      <c r="G35" s="1">
        <v>25</v>
      </c>
    </row>
    <row r="36" spans="1:7" ht="16.5" customHeight="1" x14ac:dyDescent="0.25">
      <c r="A36" s="1">
        <v>35</v>
      </c>
      <c r="B36" s="3" t="s">
        <v>63</v>
      </c>
      <c r="G36" s="1">
        <v>26</v>
      </c>
    </row>
    <row r="37" spans="1:7" ht="16.5" customHeight="1" x14ac:dyDescent="0.25">
      <c r="A37" s="1">
        <v>36</v>
      </c>
      <c r="B37" s="3" t="s">
        <v>64</v>
      </c>
      <c r="G37" s="1">
        <v>27</v>
      </c>
    </row>
    <row r="38" spans="1:7" ht="16.5" customHeight="1" x14ac:dyDescent="0.25">
      <c r="A38" s="1">
        <v>37</v>
      </c>
      <c r="B38" s="3" t="s">
        <v>65</v>
      </c>
      <c r="G38" s="1">
        <v>28</v>
      </c>
    </row>
    <row r="39" spans="1:7" ht="16.5" customHeight="1" x14ac:dyDescent="0.25">
      <c r="A39" s="1">
        <v>38</v>
      </c>
      <c r="B39" s="3" t="s">
        <v>66</v>
      </c>
      <c r="G39" s="1">
        <v>29</v>
      </c>
    </row>
    <row r="40" spans="1:7" ht="16.5" customHeight="1" x14ac:dyDescent="0.25">
      <c r="A40" s="1">
        <v>39</v>
      </c>
      <c r="B40" s="3" t="s">
        <v>67</v>
      </c>
      <c r="G40" s="1">
        <v>30</v>
      </c>
    </row>
    <row r="41" spans="1:7" ht="16.5" customHeight="1" x14ac:dyDescent="0.25">
      <c r="A41" s="1">
        <v>40</v>
      </c>
      <c r="B41" s="3" t="s">
        <v>68</v>
      </c>
      <c r="G41" s="1">
        <v>31</v>
      </c>
    </row>
    <row r="42" spans="1:7" ht="16.5" customHeight="1" x14ac:dyDescent="0.25">
      <c r="A42" s="1">
        <v>41</v>
      </c>
      <c r="B42" s="3" t="s">
        <v>69</v>
      </c>
      <c r="G42" s="1">
        <v>32</v>
      </c>
    </row>
    <row r="43" spans="1:7" ht="16.5" customHeight="1" x14ac:dyDescent="0.25">
      <c r="A43" s="1">
        <v>42</v>
      </c>
      <c r="B43" s="3" t="s">
        <v>70</v>
      </c>
      <c r="G43" s="1">
        <v>33</v>
      </c>
    </row>
    <row r="44" spans="1:7" ht="16.5" customHeight="1" x14ac:dyDescent="0.25">
      <c r="A44" s="1">
        <v>43</v>
      </c>
      <c r="B44" s="3">
        <v>44207</v>
      </c>
      <c r="G44" s="1">
        <v>34</v>
      </c>
    </row>
    <row r="45" spans="1:7" ht="16.5" customHeight="1" x14ac:dyDescent="0.25">
      <c r="A45" s="1">
        <v>44</v>
      </c>
      <c r="B45" s="3">
        <v>44238</v>
      </c>
      <c r="G45" s="1">
        <v>35</v>
      </c>
    </row>
    <row r="46" spans="1:7" ht="16.5" customHeight="1" x14ac:dyDescent="0.25">
      <c r="A46" s="1">
        <v>45</v>
      </c>
      <c r="B46" s="3">
        <v>44266</v>
      </c>
      <c r="G46" s="1">
        <v>36</v>
      </c>
    </row>
    <row r="47" spans="1:7" ht="16.5" customHeight="1" x14ac:dyDescent="0.25">
      <c r="A47" s="1">
        <v>46</v>
      </c>
      <c r="B47" s="3">
        <v>44297</v>
      </c>
      <c r="G47" s="1">
        <v>37</v>
      </c>
    </row>
    <row r="48" spans="1:7" ht="16.5" customHeight="1" x14ac:dyDescent="0.25">
      <c r="A48" s="1">
        <v>47</v>
      </c>
      <c r="B48" s="3">
        <v>44327</v>
      </c>
      <c r="G48" s="1">
        <v>38</v>
      </c>
    </row>
    <row r="49" spans="1:7" ht="16.5" customHeight="1" x14ac:dyDescent="0.25">
      <c r="A49" s="1">
        <v>48</v>
      </c>
      <c r="B49" s="3">
        <v>44419</v>
      </c>
      <c r="G49" s="1">
        <v>39</v>
      </c>
    </row>
    <row r="50" spans="1:7" ht="16.5" customHeight="1" x14ac:dyDescent="0.25">
      <c r="A50" s="1">
        <v>49</v>
      </c>
      <c r="B50" s="3">
        <v>44450</v>
      </c>
      <c r="G50" s="1">
        <v>40</v>
      </c>
    </row>
    <row r="51" spans="1:7" ht="16.5" customHeight="1" x14ac:dyDescent="0.25">
      <c r="A51" s="1">
        <v>50</v>
      </c>
      <c r="B51" s="3">
        <v>44480</v>
      </c>
      <c r="G51" s="1">
        <v>41</v>
      </c>
    </row>
    <row r="52" spans="1:7" ht="16.5" customHeight="1" x14ac:dyDescent="0.25">
      <c r="A52" s="1">
        <v>51</v>
      </c>
      <c r="B52" s="3">
        <v>44511</v>
      </c>
      <c r="G52" s="1">
        <v>42</v>
      </c>
    </row>
    <row r="53" spans="1:7" ht="16.5" customHeight="1" x14ac:dyDescent="0.25">
      <c r="A53" s="1">
        <v>52</v>
      </c>
      <c r="B53" s="3">
        <v>44541</v>
      </c>
      <c r="G53" s="1">
        <v>43</v>
      </c>
    </row>
    <row r="54" spans="1:7" ht="16.5" customHeight="1" x14ac:dyDescent="0.25">
      <c r="A54" s="1">
        <v>53</v>
      </c>
      <c r="B54" s="3" t="s">
        <v>73</v>
      </c>
      <c r="G54" s="1">
        <v>44</v>
      </c>
    </row>
    <row r="55" spans="1:7" ht="16.5" customHeight="1" x14ac:dyDescent="0.25">
      <c r="A55" s="1">
        <v>54</v>
      </c>
      <c r="B55" s="3" t="s">
        <v>74</v>
      </c>
      <c r="G55" s="1">
        <v>45</v>
      </c>
    </row>
    <row r="56" spans="1:7" ht="16.5" customHeight="1" x14ac:dyDescent="0.25">
      <c r="A56" s="1">
        <v>55</v>
      </c>
      <c r="B56" s="3" t="s">
        <v>75</v>
      </c>
      <c r="G56" s="1">
        <v>46</v>
      </c>
    </row>
    <row r="57" spans="1:7" ht="16.5" customHeight="1" x14ac:dyDescent="0.25">
      <c r="A57" s="1">
        <v>56</v>
      </c>
      <c r="B57" s="3" t="s">
        <v>76</v>
      </c>
      <c r="G57" s="1">
        <v>47</v>
      </c>
    </row>
    <row r="58" spans="1:7" ht="16.5" customHeight="1" x14ac:dyDescent="0.25">
      <c r="A58" s="1">
        <v>57</v>
      </c>
      <c r="B58" s="3" t="s">
        <v>77</v>
      </c>
      <c r="G58" s="1">
        <v>48</v>
      </c>
    </row>
    <row r="59" spans="1:7" ht="16.5" customHeight="1" x14ac:dyDescent="0.25">
      <c r="A59" s="1">
        <v>58</v>
      </c>
      <c r="B59" s="3" t="s">
        <v>78</v>
      </c>
      <c r="G59" s="1">
        <v>49</v>
      </c>
    </row>
    <row r="60" spans="1:7" ht="16.5" customHeight="1" x14ac:dyDescent="0.25">
      <c r="A60" s="1">
        <v>59</v>
      </c>
      <c r="B60" s="3" t="s">
        <v>79</v>
      </c>
      <c r="G60" s="1">
        <v>50</v>
      </c>
    </row>
    <row r="61" spans="1:7" ht="16.5" customHeight="1" x14ac:dyDescent="0.25">
      <c r="A61" s="1">
        <v>60</v>
      </c>
      <c r="B61" s="3" t="s">
        <v>80</v>
      </c>
      <c r="G61" s="1">
        <v>51</v>
      </c>
    </row>
    <row r="62" spans="1:7" ht="16.5" customHeight="1" x14ac:dyDescent="0.25">
      <c r="A62" s="1">
        <v>61</v>
      </c>
      <c r="B62" s="3" t="s">
        <v>81</v>
      </c>
      <c r="G62" s="1">
        <v>52</v>
      </c>
    </row>
    <row r="63" spans="1:7" ht="16.5" customHeight="1" x14ac:dyDescent="0.25">
      <c r="A63" s="1">
        <v>62</v>
      </c>
      <c r="B63" s="3" t="s">
        <v>82</v>
      </c>
      <c r="G63" s="1">
        <v>53</v>
      </c>
    </row>
    <row r="64" spans="1:7" ht="16.5" customHeight="1" x14ac:dyDescent="0.25">
      <c r="A64" s="1">
        <v>63</v>
      </c>
      <c r="B64" s="3" t="s">
        <v>83</v>
      </c>
      <c r="G64" s="1">
        <v>54</v>
      </c>
    </row>
    <row r="65" spans="1:7" ht="16.5" customHeight="1" x14ac:dyDescent="0.25">
      <c r="A65" s="1">
        <v>64</v>
      </c>
      <c r="B65" s="3" t="s">
        <v>84</v>
      </c>
      <c r="G65" s="1">
        <v>55</v>
      </c>
    </row>
    <row r="66" spans="1:7" ht="16.5" customHeight="1" x14ac:dyDescent="0.25">
      <c r="A66" s="1">
        <v>65</v>
      </c>
      <c r="B66" s="3">
        <v>44208</v>
      </c>
      <c r="G66" s="1">
        <v>56</v>
      </c>
    </row>
    <row r="67" spans="1:7" ht="16.5" customHeight="1" x14ac:dyDescent="0.25">
      <c r="A67" s="1">
        <v>66</v>
      </c>
      <c r="B67" s="3">
        <v>44239</v>
      </c>
      <c r="G67" s="1">
        <v>57</v>
      </c>
    </row>
    <row r="68" spans="1:7" ht="16.5" customHeight="1" x14ac:dyDescent="0.25">
      <c r="A68" s="1">
        <v>67</v>
      </c>
      <c r="B68" s="3">
        <v>44266</v>
      </c>
      <c r="G68" s="1">
        <v>58</v>
      </c>
    </row>
    <row r="69" spans="1:7" ht="16.5" customHeight="1" x14ac:dyDescent="0.25">
      <c r="A69" s="1">
        <v>68</v>
      </c>
      <c r="B69" s="3">
        <v>44327</v>
      </c>
      <c r="G69" s="1">
        <v>59</v>
      </c>
    </row>
    <row r="70" spans="1:7" ht="16.5" customHeight="1" x14ac:dyDescent="0.25">
      <c r="A70" s="1">
        <v>69</v>
      </c>
      <c r="B70" s="3">
        <v>44207</v>
      </c>
      <c r="G70" s="1">
        <v>60</v>
      </c>
    </row>
    <row r="71" spans="1:7" ht="16.5" customHeight="1" x14ac:dyDescent="0.25">
      <c r="A71" s="1">
        <v>70</v>
      </c>
      <c r="B71" s="3">
        <v>44207</v>
      </c>
      <c r="G71" s="1">
        <v>61</v>
      </c>
    </row>
    <row r="72" spans="1:7" ht="16.5" customHeight="1" x14ac:dyDescent="0.25">
      <c r="A72" s="1">
        <v>71</v>
      </c>
      <c r="B72" s="3">
        <v>44207</v>
      </c>
      <c r="G72" s="1">
        <v>62</v>
      </c>
    </row>
    <row r="73" spans="1:7" ht="16.5" customHeight="1" x14ac:dyDescent="0.25">
      <c r="A73" s="1">
        <v>72</v>
      </c>
      <c r="B73" s="3">
        <v>44207</v>
      </c>
      <c r="G73" s="1">
        <v>63</v>
      </c>
    </row>
    <row r="74" spans="1:7" ht="16.5" customHeight="1" x14ac:dyDescent="0.25">
      <c r="A74" s="1">
        <v>73</v>
      </c>
      <c r="B74" s="3">
        <v>44207</v>
      </c>
      <c r="G74" s="1">
        <v>64</v>
      </c>
    </row>
    <row r="75" spans="1:7" ht="16.5" customHeight="1" x14ac:dyDescent="0.25">
      <c r="A75" s="1">
        <v>74</v>
      </c>
      <c r="B75" s="3">
        <v>44207</v>
      </c>
      <c r="G75" s="1">
        <v>65</v>
      </c>
    </row>
    <row r="76" spans="1:7" ht="16.5" customHeight="1" x14ac:dyDescent="0.25">
      <c r="A76" s="1">
        <v>75</v>
      </c>
      <c r="B76" s="3">
        <v>44207</v>
      </c>
      <c r="G76" s="1">
        <v>66</v>
      </c>
    </row>
    <row r="77" spans="1:7" ht="16.5" customHeight="1" x14ac:dyDescent="0.25">
      <c r="A77" s="1">
        <v>76</v>
      </c>
      <c r="B77" s="3">
        <v>44207</v>
      </c>
      <c r="G77" s="1">
        <v>67</v>
      </c>
    </row>
  </sheetData>
  <mergeCells count="3">
    <mergeCell ref="L1:Q1"/>
    <mergeCell ref="B1:F1"/>
    <mergeCell ref="G1:K1"/>
  </mergeCells>
  <phoneticPr fontId="3" type="noConversion"/>
  <pageMargins left="0.7" right="0.7" top="0.75" bottom="0.75" header="0.3" footer="0.3"/>
  <pageSetup orientation="portrait" horizontalDpi="4294967295" verticalDpi="4294967295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B3FF3-DE01-405E-B4BD-0F94B06487FA}">
  <sheetPr>
    <tabColor rgb="FF00B0F0"/>
  </sheetPr>
  <dimension ref="A1:S50"/>
  <sheetViews>
    <sheetView workbookViewId="0">
      <selection activeCell="J18" sqref="J18"/>
    </sheetView>
  </sheetViews>
  <sheetFormatPr defaultRowHeight="15" x14ac:dyDescent="0.25"/>
  <cols>
    <col min="1" max="1" width="5.7109375" style="1" customWidth="1"/>
    <col min="2" max="2" width="11.7109375" customWidth="1"/>
    <col min="7" max="7" width="6" style="1" customWidth="1"/>
    <col min="8" max="11" width="6" customWidth="1"/>
    <col min="12" max="13" width="6" style="2" customWidth="1"/>
    <col min="14" max="14" width="9.140625" style="1"/>
    <col min="17" max="17" width="12.85546875" customWidth="1"/>
  </cols>
  <sheetData>
    <row r="1" spans="1:19" x14ac:dyDescent="0.25">
      <c r="A1" s="1" t="s">
        <v>0</v>
      </c>
      <c r="B1" s="21" t="s">
        <v>44</v>
      </c>
      <c r="C1" s="21"/>
      <c r="D1" s="21"/>
      <c r="E1" s="21"/>
      <c r="F1" s="21"/>
      <c r="G1" s="17" t="s">
        <v>43</v>
      </c>
      <c r="H1" s="17"/>
      <c r="I1" s="17"/>
      <c r="J1" s="17"/>
      <c r="K1" s="17"/>
      <c r="L1" s="17"/>
      <c r="M1" s="22" t="s">
        <v>45</v>
      </c>
      <c r="N1" s="22"/>
      <c r="O1" s="22"/>
      <c r="P1" s="22"/>
      <c r="Q1" s="22"/>
      <c r="R1" s="22"/>
      <c r="S1" s="22"/>
    </row>
    <row r="2" spans="1:19" s="11" customFormat="1" x14ac:dyDescent="0.25">
      <c r="A2" s="7"/>
      <c r="B2" s="7" t="s">
        <v>20</v>
      </c>
      <c r="C2" s="7" t="s">
        <v>3</v>
      </c>
      <c r="D2" s="7" t="s">
        <v>1</v>
      </c>
      <c r="E2" s="7" t="s">
        <v>2</v>
      </c>
      <c r="F2" s="7" t="s">
        <v>4</v>
      </c>
      <c r="G2" s="7" t="s">
        <v>0</v>
      </c>
      <c r="H2" s="7" t="s">
        <v>40</v>
      </c>
      <c r="I2" s="7" t="s">
        <v>41</v>
      </c>
      <c r="J2" s="7" t="s">
        <v>42</v>
      </c>
      <c r="K2" s="7" t="s">
        <v>19</v>
      </c>
      <c r="L2" s="8" t="s">
        <v>4</v>
      </c>
      <c r="M2" s="8" t="s">
        <v>85</v>
      </c>
      <c r="N2" s="7" t="s">
        <v>6</v>
      </c>
      <c r="O2" s="7" t="s">
        <v>5</v>
      </c>
      <c r="P2" s="7" t="s">
        <v>1</v>
      </c>
      <c r="Q2" s="7" t="s">
        <v>2</v>
      </c>
      <c r="R2" s="7" t="s">
        <v>3</v>
      </c>
      <c r="S2" s="7" t="s">
        <v>4</v>
      </c>
    </row>
    <row r="3" spans="1:19" x14ac:dyDescent="0.25">
      <c r="A3" s="1">
        <v>1</v>
      </c>
      <c r="B3" s="5" t="s">
        <v>31</v>
      </c>
      <c r="C3" s="4">
        <v>352</v>
      </c>
      <c r="D3" s="4">
        <v>30</v>
      </c>
      <c r="E3" s="4">
        <f>C3-D3</f>
        <v>322</v>
      </c>
      <c r="F3" s="2">
        <f>D3/C3</f>
        <v>8.5227272727272721E-2</v>
      </c>
      <c r="G3" s="1">
        <v>1</v>
      </c>
      <c r="H3">
        <v>35</v>
      </c>
      <c r="I3">
        <f>SUM(D3:D3)</f>
        <v>30</v>
      </c>
      <c r="J3">
        <f>SUM(E3:E3)</f>
        <v>322</v>
      </c>
      <c r="K3">
        <f>I3+J3</f>
        <v>352</v>
      </c>
      <c r="L3" s="2">
        <f>I3/K3</f>
        <v>8.5227272727272721E-2</v>
      </c>
      <c r="M3" s="2" t="s">
        <v>71</v>
      </c>
      <c r="N3" s="1">
        <v>2021</v>
      </c>
      <c r="O3" s="1" t="s">
        <v>14</v>
      </c>
      <c r="R3">
        <f>P3+Q3</f>
        <v>0</v>
      </c>
      <c r="S3" s="2" t="e">
        <f>P3/R3</f>
        <v>#DIV/0!</v>
      </c>
    </row>
    <row r="4" spans="1:19" x14ac:dyDescent="0.25">
      <c r="A4" s="1">
        <v>2</v>
      </c>
      <c r="B4" s="5" t="s">
        <v>56</v>
      </c>
      <c r="C4" s="4">
        <v>550</v>
      </c>
      <c r="D4" s="4">
        <v>50</v>
      </c>
      <c r="E4" s="4">
        <f>C4-D4</f>
        <v>500</v>
      </c>
      <c r="F4" s="2">
        <f>D5/C5</f>
        <v>9.0909090909090912E-2</v>
      </c>
      <c r="G4" s="1">
        <v>2</v>
      </c>
      <c r="H4" s="4">
        <v>38</v>
      </c>
      <c r="I4">
        <f>SUM(D4:D4)</f>
        <v>50</v>
      </c>
      <c r="J4">
        <f>SUM(E4:E4)</f>
        <v>500</v>
      </c>
      <c r="K4">
        <f>I4+J4</f>
        <v>550</v>
      </c>
      <c r="L4" s="2">
        <f t="shared" ref="L4:L14" si="0">I5/K5</f>
        <v>9.0415913200723327E-2</v>
      </c>
      <c r="M4" s="2" t="s">
        <v>71</v>
      </c>
      <c r="N4" s="1">
        <v>2021</v>
      </c>
      <c r="O4" s="1" t="s">
        <v>15</v>
      </c>
      <c r="P4">
        <v>166</v>
      </c>
      <c r="Q4">
        <v>440</v>
      </c>
      <c r="R4">
        <f t="shared" ref="R4:R20" si="1">P4+Q4</f>
        <v>606</v>
      </c>
      <c r="S4" s="2">
        <f t="shared" ref="S4:S19" si="2">P4/R4</f>
        <v>0.27392739273927391</v>
      </c>
    </row>
    <row r="5" spans="1:19" x14ac:dyDescent="0.25">
      <c r="A5" s="1">
        <v>3</v>
      </c>
      <c r="B5" s="5" t="s">
        <v>58</v>
      </c>
      <c r="C5" s="4">
        <v>220</v>
      </c>
      <c r="D5" s="4">
        <v>20</v>
      </c>
      <c r="E5" s="4">
        <f>C5-D5</f>
        <v>200</v>
      </c>
      <c r="F5" s="2">
        <f t="shared" ref="F5:F50" si="3">D6/C6</f>
        <v>9.0090090090090086E-2</v>
      </c>
      <c r="G5" s="1">
        <v>3</v>
      </c>
      <c r="H5" s="4">
        <v>1</v>
      </c>
      <c r="I5">
        <f>SUM(D5:D6)</f>
        <v>50</v>
      </c>
      <c r="J5">
        <f>SUM(E5:E7)</f>
        <v>503</v>
      </c>
      <c r="K5">
        <f t="shared" ref="K5:K15" si="4">I5+J5</f>
        <v>553</v>
      </c>
      <c r="L5" s="2" t="e">
        <f t="shared" si="0"/>
        <v>#DIV/0!</v>
      </c>
      <c r="M5" s="2" t="s">
        <v>71</v>
      </c>
      <c r="N5" s="1">
        <v>2021</v>
      </c>
      <c r="O5" s="1" t="s">
        <v>16</v>
      </c>
      <c r="P5">
        <v>320</v>
      </c>
      <c r="Q5">
        <v>887</v>
      </c>
      <c r="R5">
        <f t="shared" si="1"/>
        <v>1207</v>
      </c>
      <c r="S5" s="2">
        <f t="shared" si="2"/>
        <v>0.26512013256006628</v>
      </c>
    </row>
    <row r="6" spans="1:19" x14ac:dyDescent="0.25">
      <c r="A6" s="1">
        <v>4</v>
      </c>
      <c r="B6" s="5" t="s">
        <v>59</v>
      </c>
      <c r="C6" s="4">
        <v>333</v>
      </c>
      <c r="D6" s="4">
        <v>30</v>
      </c>
      <c r="E6" s="4">
        <f t="shared" ref="E6:E50" si="5">C6-D6</f>
        <v>303</v>
      </c>
      <c r="F6" s="2" t="e">
        <f t="shared" si="3"/>
        <v>#DIV/0!</v>
      </c>
      <c r="G6" s="1">
        <v>4</v>
      </c>
      <c r="H6" s="4">
        <v>2</v>
      </c>
      <c r="I6">
        <f>SUM(D7:D11)</f>
        <v>0</v>
      </c>
      <c r="J6">
        <f>SUM(E7:E11)</f>
        <v>0</v>
      </c>
      <c r="K6">
        <f t="shared" si="4"/>
        <v>0</v>
      </c>
      <c r="L6" s="2" t="e">
        <f t="shared" si="0"/>
        <v>#DIV/0!</v>
      </c>
      <c r="M6" s="2" t="s">
        <v>71</v>
      </c>
      <c r="N6" s="1">
        <v>2021</v>
      </c>
      <c r="O6" s="1" t="s">
        <v>17</v>
      </c>
      <c r="P6">
        <v>34</v>
      </c>
      <c r="Q6">
        <v>286</v>
      </c>
      <c r="R6">
        <f t="shared" si="1"/>
        <v>320</v>
      </c>
      <c r="S6" s="2">
        <f t="shared" si="2"/>
        <v>0.10625</v>
      </c>
    </row>
    <row r="7" spans="1:19" x14ac:dyDescent="0.25">
      <c r="A7" s="1">
        <v>5</v>
      </c>
      <c r="B7" s="3" t="s">
        <v>61</v>
      </c>
      <c r="E7">
        <f t="shared" si="5"/>
        <v>0</v>
      </c>
      <c r="F7" s="2" t="e">
        <f t="shared" si="3"/>
        <v>#DIV/0!</v>
      </c>
      <c r="G7" s="1">
        <v>5</v>
      </c>
      <c r="H7" s="4">
        <v>3</v>
      </c>
      <c r="I7">
        <f>SUM(D12:D16)</f>
        <v>0</v>
      </c>
      <c r="J7">
        <f>SUM(E12:E16)</f>
        <v>0</v>
      </c>
      <c r="K7">
        <f t="shared" si="4"/>
        <v>0</v>
      </c>
      <c r="L7" s="2" t="e">
        <f t="shared" si="0"/>
        <v>#DIV/0!</v>
      </c>
      <c r="M7" s="2" t="s">
        <v>71</v>
      </c>
      <c r="N7" s="1">
        <v>2021</v>
      </c>
      <c r="O7" s="1" t="s">
        <v>18</v>
      </c>
      <c r="P7">
        <f>SUM(I3:I3)</f>
        <v>30</v>
      </c>
      <c r="Q7">
        <f>SUM(J3:J3)</f>
        <v>322</v>
      </c>
      <c r="R7">
        <f t="shared" si="1"/>
        <v>352</v>
      </c>
      <c r="S7" s="2">
        <f t="shared" si="2"/>
        <v>8.5227272727272721E-2</v>
      </c>
    </row>
    <row r="8" spans="1:19" x14ac:dyDescent="0.25">
      <c r="A8" s="1">
        <v>6</v>
      </c>
      <c r="B8" s="3" t="s">
        <v>62</v>
      </c>
      <c r="E8">
        <f t="shared" si="5"/>
        <v>0</v>
      </c>
      <c r="F8" s="2" t="e">
        <f t="shared" si="3"/>
        <v>#DIV/0!</v>
      </c>
      <c r="G8" s="1">
        <v>6</v>
      </c>
      <c r="H8" s="4">
        <v>4</v>
      </c>
      <c r="I8">
        <f>SUM(D17:D21)</f>
        <v>0</v>
      </c>
      <c r="J8">
        <f>SUM(E17:E20)</f>
        <v>0</v>
      </c>
      <c r="K8">
        <f t="shared" si="4"/>
        <v>0</v>
      </c>
      <c r="L8" s="2" t="e">
        <f t="shared" si="0"/>
        <v>#DIV/0!</v>
      </c>
      <c r="M8" s="2" t="s">
        <v>72</v>
      </c>
      <c r="N8" s="1">
        <v>2021</v>
      </c>
      <c r="O8" s="1" t="s">
        <v>7</v>
      </c>
      <c r="P8">
        <f>SUM(I5:I16)</f>
        <v>50</v>
      </c>
      <c r="Q8">
        <f>SUM(J5:J16)</f>
        <v>503</v>
      </c>
      <c r="R8">
        <f t="shared" si="1"/>
        <v>553</v>
      </c>
      <c r="S8" s="2">
        <f t="shared" si="2"/>
        <v>9.0415913200723327E-2</v>
      </c>
    </row>
    <row r="9" spans="1:19" x14ac:dyDescent="0.25">
      <c r="A9" s="1">
        <v>7</v>
      </c>
      <c r="B9" s="3" t="s">
        <v>63</v>
      </c>
      <c r="E9">
        <f t="shared" si="5"/>
        <v>0</v>
      </c>
      <c r="F9" s="2" t="e">
        <f t="shared" si="3"/>
        <v>#DIV/0!</v>
      </c>
      <c r="G9" s="1">
        <v>7</v>
      </c>
      <c r="H9" s="4">
        <v>5</v>
      </c>
      <c r="I9">
        <f>SUM(D22:D26)</f>
        <v>0</v>
      </c>
      <c r="J9">
        <f>SUM(E22:E26)</f>
        <v>0</v>
      </c>
      <c r="K9">
        <f t="shared" si="4"/>
        <v>0</v>
      </c>
      <c r="L9" s="2" t="e">
        <f t="shared" si="0"/>
        <v>#DIV/0!</v>
      </c>
      <c r="M9" s="2" t="s">
        <v>72</v>
      </c>
      <c r="N9" s="1">
        <v>2021</v>
      </c>
      <c r="O9" s="1" t="s">
        <v>8</v>
      </c>
      <c r="P9">
        <f>SUM(I17:I38)</f>
        <v>0</v>
      </c>
      <c r="Q9">
        <f>SUM(J17:J38)</f>
        <v>0</v>
      </c>
      <c r="R9">
        <f t="shared" si="1"/>
        <v>0</v>
      </c>
      <c r="S9" s="2" t="e">
        <f t="shared" si="2"/>
        <v>#DIV/0!</v>
      </c>
    </row>
    <row r="10" spans="1:19" x14ac:dyDescent="0.25">
      <c r="A10" s="1">
        <v>8</v>
      </c>
      <c r="B10" s="3" t="s">
        <v>64</v>
      </c>
      <c r="E10">
        <f t="shared" si="5"/>
        <v>0</v>
      </c>
      <c r="F10" s="2" t="e">
        <f t="shared" si="3"/>
        <v>#DIV/0!</v>
      </c>
      <c r="G10" s="1">
        <v>8</v>
      </c>
      <c r="H10" s="4">
        <v>6</v>
      </c>
      <c r="I10">
        <f>SUM(D27:D31)</f>
        <v>0</v>
      </c>
      <c r="J10">
        <f>SUM(E27:E31)</f>
        <v>0</v>
      </c>
      <c r="K10">
        <f t="shared" si="4"/>
        <v>0</v>
      </c>
      <c r="L10" s="2" t="e">
        <f t="shared" si="0"/>
        <v>#DIV/0!</v>
      </c>
      <c r="M10" s="2" t="s">
        <v>72</v>
      </c>
      <c r="N10" s="1">
        <v>2021</v>
      </c>
      <c r="O10" s="1" t="s">
        <v>9</v>
      </c>
      <c r="P10">
        <f>SUM(I39:I59)</f>
        <v>0</v>
      </c>
      <c r="Q10">
        <f>SUM(J39:J59)</f>
        <v>0</v>
      </c>
      <c r="R10">
        <f t="shared" si="1"/>
        <v>0</v>
      </c>
      <c r="S10" s="2" t="e">
        <f t="shared" si="2"/>
        <v>#DIV/0!</v>
      </c>
    </row>
    <row r="11" spans="1:19" x14ac:dyDescent="0.25">
      <c r="A11" s="1">
        <v>9</v>
      </c>
      <c r="B11" s="3" t="s">
        <v>65</v>
      </c>
      <c r="E11">
        <f t="shared" si="5"/>
        <v>0</v>
      </c>
      <c r="F11" s="2" t="e">
        <f t="shared" si="3"/>
        <v>#DIV/0!</v>
      </c>
      <c r="H11" s="4">
        <v>7</v>
      </c>
      <c r="I11">
        <f>SUM(D32:D36)</f>
        <v>0</v>
      </c>
      <c r="J11">
        <f>SUM(E32:E36)</f>
        <v>0</v>
      </c>
      <c r="K11">
        <f t="shared" si="4"/>
        <v>0</v>
      </c>
      <c r="L11" s="2" t="e">
        <f t="shared" si="0"/>
        <v>#DIV/0!</v>
      </c>
      <c r="M11" s="2" t="s">
        <v>72</v>
      </c>
      <c r="N11" s="1">
        <v>2022</v>
      </c>
      <c r="O11" s="1" t="s">
        <v>10</v>
      </c>
      <c r="R11">
        <f t="shared" si="1"/>
        <v>0</v>
      </c>
      <c r="S11" s="2" t="e">
        <f t="shared" si="2"/>
        <v>#DIV/0!</v>
      </c>
    </row>
    <row r="12" spans="1:19" x14ac:dyDescent="0.25">
      <c r="A12" s="1">
        <v>10</v>
      </c>
      <c r="B12" s="3" t="s">
        <v>66</v>
      </c>
      <c r="E12">
        <f t="shared" si="5"/>
        <v>0</v>
      </c>
      <c r="F12" s="2" t="e">
        <f t="shared" si="3"/>
        <v>#DIV/0!</v>
      </c>
      <c r="H12" s="4">
        <v>8</v>
      </c>
      <c r="K12">
        <f t="shared" si="4"/>
        <v>0</v>
      </c>
      <c r="L12" s="2" t="e">
        <f t="shared" si="0"/>
        <v>#DIV/0!</v>
      </c>
      <c r="M12" s="2" t="s">
        <v>72</v>
      </c>
      <c r="N12" s="1">
        <v>2022</v>
      </c>
      <c r="O12" s="1" t="s">
        <v>11</v>
      </c>
      <c r="R12">
        <f t="shared" si="1"/>
        <v>0</v>
      </c>
      <c r="S12" s="2" t="e">
        <f t="shared" si="2"/>
        <v>#DIV/0!</v>
      </c>
    </row>
    <row r="13" spans="1:19" x14ac:dyDescent="0.25">
      <c r="A13" s="1">
        <v>11</v>
      </c>
      <c r="B13" s="3" t="s">
        <v>67</v>
      </c>
      <c r="E13">
        <f t="shared" si="5"/>
        <v>0</v>
      </c>
      <c r="F13" s="2" t="e">
        <f t="shared" si="3"/>
        <v>#DIV/0!</v>
      </c>
      <c r="H13" s="4">
        <v>9</v>
      </c>
      <c r="K13">
        <f t="shared" si="4"/>
        <v>0</v>
      </c>
      <c r="L13" s="2" t="e">
        <f t="shared" si="0"/>
        <v>#DIV/0!</v>
      </c>
      <c r="M13" s="2" t="s">
        <v>72</v>
      </c>
      <c r="N13" s="1">
        <v>2022</v>
      </c>
      <c r="O13" s="1" t="s">
        <v>12</v>
      </c>
      <c r="R13">
        <f t="shared" si="1"/>
        <v>0</v>
      </c>
      <c r="S13" s="2" t="e">
        <f t="shared" si="2"/>
        <v>#DIV/0!</v>
      </c>
    </row>
    <row r="14" spans="1:19" x14ac:dyDescent="0.25">
      <c r="A14" s="1">
        <v>12</v>
      </c>
      <c r="B14" s="3" t="s">
        <v>68</v>
      </c>
      <c r="E14">
        <f t="shared" si="5"/>
        <v>0</v>
      </c>
      <c r="F14" s="2" t="e">
        <f t="shared" si="3"/>
        <v>#DIV/0!</v>
      </c>
      <c r="H14" s="4">
        <v>10</v>
      </c>
      <c r="K14">
        <f t="shared" si="4"/>
        <v>0</v>
      </c>
      <c r="L14" s="2" t="e">
        <f t="shared" si="0"/>
        <v>#DIV/0!</v>
      </c>
      <c r="M14" s="2" t="s">
        <v>72</v>
      </c>
      <c r="N14" s="1">
        <v>2022</v>
      </c>
      <c r="O14" s="1" t="s">
        <v>13</v>
      </c>
      <c r="R14">
        <f t="shared" si="1"/>
        <v>0</v>
      </c>
      <c r="S14" s="2" t="e">
        <f t="shared" si="2"/>
        <v>#DIV/0!</v>
      </c>
    </row>
    <row r="15" spans="1:19" x14ac:dyDescent="0.25">
      <c r="A15" s="1">
        <v>13</v>
      </c>
      <c r="B15" s="3" t="s">
        <v>69</v>
      </c>
      <c r="E15">
        <f t="shared" si="5"/>
        <v>0</v>
      </c>
      <c r="F15" s="2" t="e">
        <f t="shared" si="3"/>
        <v>#DIV/0!</v>
      </c>
      <c r="H15" s="4">
        <v>11</v>
      </c>
      <c r="K15">
        <f t="shared" si="4"/>
        <v>0</v>
      </c>
      <c r="M15" s="2" t="s">
        <v>72</v>
      </c>
      <c r="N15" s="1">
        <v>2022</v>
      </c>
      <c r="O15" s="1" t="s">
        <v>14</v>
      </c>
      <c r="R15">
        <f t="shared" si="1"/>
        <v>0</v>
      </c>
      <c r="S15" s="2" t="e">
        <f t="shared" si="2"/>
        <v>#DIV/0!</v>
      </c>
    </row>
    <row r="16" spans="1:19" x14ac:dyDescent="0.25">
      <c r="A16" s="1">
        <v>14</v>
      </c>
      <c r="B16" s="3" t="s">
        <v>70</v>
      </c>
      <c r="E16">
        <f t="shared" si="5"/>
        <v>0</v>
      </c>
      <c r="F16" s="2" t="e">
        <f t="shared" si="3"/>
        <v>#DIV/0!</v>
      </c>
      <c r="H16" s="4">
        <v>12</v>
      </c>
      <c r="M16" s="2" t="s">
        <v>72</v>
      </c>
      <c r="N16" s="1">
        <v>2022</v>
      </c>
      <c r="O16" s="1" t="s">
        <v>15</v>
      </c>
      <c r="R16">
        <f t="shared" si="1"/>
        <v>0</v>
      </c>
      <c r="S16" s="2" t="e">
        <f t="shared" si="2"/>
        <v>#DIV/0!</v>
      </c>
    </row>
    <row r="17" spans="1:19" x14ac:dyDescent="0.25">
      <c r="A17" s="1">
        <v>15</v>
      </c>
      <c r="B17" s="3">
        <v>44207</v>
      </c>
      <c r="E17">
        <f t="shared" si="5"/>
        <v>0</v>
      </c>
      <c r="F17" s="2" t="e">
        <f t="shared" si="3"/>
        <v>#DIV/0!</v>
      </c>
      <c r="H17" s="4">
        <v>13</v>
      </c>
      <c r="M17" s="2" t="s">
        <v>72</v>
      </c>
      <c r="N17" s="1">
        <v>2022</v>
      </c>
      <c r="O17" s="1" t="s">
        <v>16</v>
      </c>
      <c r="R17">
        <f t="shared" si="1"/>
        <v>0</v>
      </c>
      <c r="S17" s="2" t="e">
        <f t="shared" si="2"/>
        <v>#DIV/0!</v>
      </c>
    </row>
    <row r="18" spans="1:19" x14ac:dyDescent="0.25">
      <c r="A18" s="1">
        <v>16</v>
      </c>
      <c r="B18" s="3">
        <v>44238</v>
      </c>
      <c r="E18">
        <f t="shared" si="5"/>
        <v>0</v>
      </c>
      <c r="F18" s="2" t="e">
        <f t="shared" si="3"/>
        <v>#DIV/0!</v>
      </c>
      <c r="H18" s="4">
        <v>14</v>
      </c>
      <c r="M18" s="2" t="s">
        <v>72</v>
      </c>
      <c r="N18" s="1">
        <v>2022</v>
      </c>
      <c r="O18" s="1" t="s">
        <v>17</v>
      </c>
      <c r="R18">
        <f t="shared" si="1"/>
        <v>0</v>
      </c>
      <c r="S18" s="2" t="e">
        <f t="shared" si="2"/>
        <v>#DIV/0!</v>
      </c>
    </row>
    <row r="19" spans="1:19" x14ac:dyDescent="0.25">
      <c r="A19" s="1">
        <v>17</v>
      </c>
      <c r="B19" s="3">
        <v>44266</v>
      </c>
      <c r="E19">
        <f t="shared" si="5"/>
        <v>0</v>
      </c>
      <c r="F19" s="2" t="e">
        <f t="shared" si="3"/>
        <v>#DIV/0!</v>
      </c>
      <c r="H19" s="4">
        <v>15</v>
      </c>
      <c r="M19" s="2" t="s">
        <v>72</v>
      </c>
      <c r="N19" s="1">
        <v>2022</v>
      </c>
      <c r="O19" s="1" t="s">
        <v>18</v>
      </c>
      <c r="R19">
        <f t="shared" si="1"/>
        <v>0</v>
      </c>
      <c r="S19" s="2" t="e">
        <f t="shared" si="2"/>
        <v>#DIV/0!</v>
      </c>
    </row>
    <row r="20" spans="1:19" x14ac:dyDescent="0.25">
      <c r="A20" s="1">
        <v>18</v>
      </c>
      <c r="B20" s="3">
        <v>44297</v>
      </c>
      <c r="E20">
        <f t="shared" si="5"/>
        <v>0</v>
      </c>
      <c r="F20" s="2" t="e">
        <f t="shared" si="3"/>
        <v>#DIV/0!</v>
      </c>
      <c r="H20" s="4">
        <v>16</v>
      </c>
      <c r="N20" s="1" t="s">
        <v>19</v>
      </c>
      <c r="P20">
        <f>SUM(P3:P10)</f>
        <v>600</v>
      </c>
      <c r="Q20">
        <f>SUM(Q3:Q10)</f>
        <v>2438</v>
      </c>
      <c r="R20">
        <f t="shared" si="1"/>
        <v>3038</v>
      </c>
      <c r="S20" s="6" t="e">
        <f>SUM(S3:S10)</f>
        <v>#DIV/0!</v>
      </c>
    </row>
    <row r="21" spans="1:19" x14ac:dyDescent="0.25">
      <c r="A21" s="1">
        <v>19</v>
      </c>
      <c r="B21" s="3">
        <v>44327</v>
      </c>
      <c r="E21">
        <f t="shared" si="5"/>
        <v>0</v>
      </c>
      <c r="F21" s="2" t="e">
        <f t="shared" si="3"/>
        <v>#DIV/0!</v>
      </c>
      <c r="H21" s="4">
        <v>17</v>
      </c>
    </row>
    <row r="22" spans="1:19" x14ac:dyDescent="0.25">
      <c r="A22" s="1">
        <v>20</v>
      </c>
      <c r="B22" s="3">
        <v>44419</v>
      </c>
      <c r="E22">
        <f t="shared" si="5"/>
        <v>0</v>
      </c>
      <c r="F22" s="2" t="e">
        <f t="shared" si="3"/>
        <v>#DIV/0!</v>
      </c>
      <c r="H22" s="4">
        <v>18</v>
      </c>
    </row>
    <row r="23" spans="1:19" x14ac:dyDescent="0.25">
      <c r="A23" s="1">
        <v>21</v>
      </c>
      <c r="B23" s="3">
        <v>44450</v>
      </c>
      <c r="E23">
        <f t="shared" si="5"/>
        <v>0</v>
      </c>
      <c r="F23" s="2" t="e">
        <f t="shared" si="3"/>
        <v>#DIV/0!</v>
      </c>
      <c r="H23" s="4">
        <v>19</v>
      </c>
    </row>
    <row r="24" spans="1:19" x14ac:dyDescent="0.25">
      <c r="A24" s="1">
        <v>22</v>
      </c>
      <c r="B24" s="3">
        <v>44480</v>
      </c>
      <c r="E24">
        <f t="shared" si="5"/>
        <v>0</v>
      </c>
      <c r="F24" s="2" t="e">
        <f t="shared" si="3"/>
        <v>#DIV/0!</v>
      </c>
      <c r="H24" s="4">
        <v>20</v>
      </c>
    </row>
    <row r="25" spans="1:19" x14ac:dyDescent="0.25">
      <c r="A25" s="1">
        <v>23</v>
      </c>
      <c r="B25" s="3">
        <v>44511</v>
      </c>
      <c r="E25">
        <f t="shared" si="5"/>
        <v>0</v>
      </c>
      <c r="F25" s="2" t="e">
        <f t="shared" si="3"/>
        <v>#DIV/0!</v>
      </c>
      <c r="H25" s="4">
        <v>21</v>
      </c>
    </row>
    <row r="26" spans="1:19" x14ac:dyDescent="0.25">
      <c r="A26" s="1">
        <v>24</v>
      </c>
      <c r="B26" s="3">
        <v>44541</v>
      </c>
      <c r="E26">
        <f t="shared" si="5"/>
        <v>0</v>
      </c>
      <c r="F26" s="2" t="e">
        <f t="shared" si="3"/>
        <v>#DIV/0!</v>
      </c>
      <c r="H26" s="4">
        <v>22</v>
      </c>
    </row>
    <row r="27" spans="1:19" x14ac:dyDescent="0.25">
      <c r="A27" s="1">
        <v>25</v>
      </c>
      <c r="B27" s="3" t="s">
        <v>73</v>
      </c>
      <c r="E27">
        <f t="shared" si="5"/>
        <v>0</v>
      </c>
      <c r="F27" s="2" t="e">
        <f t="shared" si="3"/>
        <v>#DIV/0!</v>
      </c>
      <c r="H27" s="4">
        <v>23</v>
      </c>
    </row>
    <row r="28" spans="1:19" x14ac:dyDescent="0.25">
      <c r="A28" s="1">
        <v>26</v>
      </c>
      <c r="B28" s="3" t="s">
        <v>74</v>
      </c>
      <c r="E28">
        <f t="shared" si="5"/>
        <v>0</v>
      </c>
      <c r="F28" s="2" t="e">
        <f t="shared" si="3"/>
        <v>#DIV/0!</v>
      </c>
      <c r="H28" s="4">
        <v>24</v>
      </c>
    </row>
    <row r="29" spans="1:19" x14ac:dyDescent="0.25">
      <c r="A29" s="1">
        <v>27</v>
      </c>
      <c r="B29" s="3" t="s">
        <v>75</v>
      </c>
      <c r="E29">
        <f t="shared" si="5"/>
        <v>0</v>
      </c>
      <c r="F29" s="2" t="e">
        <f t="shared" si="3"/>
        <v>#DIV/0!</v>
      </c>
      <c r="H29" s="4">
        <v>25</v>
      </c>
    </row>
    <row r="30" spans="1:19" x14ac:dyDescent="0.25">
      <c r="A30" s="1">
        <v>28</v>
      </c>
      <c r="B30" s="3" t="s">
        <v>76</v>
      </c>
      <c r="E30">
        <f t="shared" si="5"/>
        <v>0</v>
      </c>
      <c r="F30" s="2" t="e">
        <f t="shared" si="3"/>
        <v>#DIV/0!</v>
      </c>
    </row>
    <row r="31" spans="1:19" x14ac:dyDescent="0.25">
      <c r="A31" s="1">
        <v>29</v>
      </c>
      <c r="B31" s="3" t="s">
        <v>77</v>
      </c>
      <c r="E31">
        <f t="shared" si="5"/>
        <v>0</v>
      </c>
      <c r="F31" s="2" t="e">
        <f t="shared" si="3"/>
        <v>#DIV/0!</v>
      </c>
    </row>
    <row r="32" spans="1:19" x14ac:dyDescent="0.25">
      <c r="A32" s="1">
        <v>30</v>
      </c>
      <c r="B32" s="3" t="s">
        <v>78</v>
      </c>
      <c r="E32">
        <f t="shared" si="5"/>
        <v>0</v>
      </c>
      <c r="F32" s="2" t="e">
        <f t="shared" si="3"/>
        <v>#DIV/0!</v>
      </c>
    </row>
    <row r="33" spans="1:6" x14ac:dyDescent="0.25">
      <c r="A33" s="1">
        <v>31</v>
      </c>
      <c r="B33" s="3" t="s">
        <v>79</v>
      </c>
      <c r="E33">
        <f t="shared" si="5"/>
        <v>0</v>
      </c>
      <c r="F33" s="2" t="e">
        <f t="shared" si="3"/>
        <v>#DIV/0!</v>
      </c>
    </row>
    <row r="34" spans="1:6" x14ac:dyDescent="0.25">
      <c r="A34" s="1">
        <v>32</v>
      </c>
      <c r="B34" s="3" t="s">
        <v>80</v>
      </c>
      <c r="E34">
        <f t="shared" si="5"/>
        <v>0</v>
      </c>
      <c r="F34" s="2" t="e">
        <f t="shared" si="3"/>
        <v>#DIV/0!</v>
      </c>
    </row>
    <row r="35" spans="1:6" x14ac:dyDescent="0.25">
      <c r="A35" s="1">
        <v>33</v>
      </c>
      <c r="B35" s="3" t="s">
        <v>81</v>
      </c>
      <c r="E35">
        <f t="shared" si="5"/>
        <v>0</v>
      </c>
      <c r="F35" s="2" t="e">
        <f t="shared" si="3"/>
        <v>#DIV/0!</v>
      </c>
    </row>
    <row r="36" spans="1:6" x14ac:dyDescent="0.25">
      <c r="A36" s="1">
        <v>34</v>
      </c>
      <c r="B36" s="3" t="s">
        <v>82</v>
      </c>
      <c r="E36">
        <f t="shared" si="5"/>
        <v>0</v>
      </c>
      <c r="F36" s="2" t="e">
        <f t="shared" si="3"/>
        <v>#DIV/0!</v>
      </c>
    </row>
    <row r="37" spans="1:6" x14ac:dyDescent="0.25">
      <c r="A37" s="1">
        <v>35</v>
      </c>
      <c r="B37" s="3" t="s">
        <v>83</v>
      </c>
      <c r="E37">
        <f t="shared" si="5"/>
        <v>0</v>
      </c>
      <c r="F37" s="2" t="e">
        <f t="shared" si="3"/>
        <v>#DIV/0!</v>
      </c>
    </row>
    <row r="38" spans="1:6" x14ac:dyDescent="0.25">
      <c r="A38" s="1">
        <v>36</v>
      </c>
      <c r="B38" s="3" t="s">
        <v>84</v>
      </c>
      <c r="E38">
        <f t="shared" si="5"/>
        <v>0</v>
      </c>
      <c r="F38" s="2" t="e">
        <f t="shared" si="3"/>
        <v>#DIV/0!</v>
      </c>
    </row>
    <row r="39" spans="1:6" x14ac:dyDescent="0.25">
      <c r="A39" s="1">
        <v>37</v>
      </c>
      <c r="B39" s="3">
        <v>44208</v>
      </c>
      <c r="E39">
        <f t="shared" si="5"/>
        <v>0</v>
      </c>
      <c r="F39" s="2" t="e">
        <f t="shared" si="3"/>
        <v>#DIV/0!</v>
      </c>
    </row>
    <row r="40" spans="1:6" x14ac:dyDescent="0.25">
      <c r="A40" s="1">
        <v>38</v>
      </c>
      <c r="B40" s="3">
        <v>44239</v>
      </c>
      <c r="E40">
        <f t="shared" si="5"/>
        <v>0</v>
      </c>
      <c r="F40" s="2" t="e">
        <f t="shared" si="3"/>
        <v>#DIV/0!</v>
      </c>
    </row>
    <row r="41" spans="1:6" x14ac:dyDescent="0.25">
      <c r="A41" s="1">
        <v>39</v>
      </c>
      <c r="B41" s="3">
        <v>44266</v>
      </c>
      <c r="E41">
        <f t="shared" si="5"/>
        <v>0</v>
      </c>
      <c r="F41" s="2" t="e">
        <f t="shared" si="3"/>
        <v>#DIV/0!</v>
      </c>
    </row>
    <row r="42" spans="1:6" x14ac:dyDescent="0.25">
      <c r="A42" s="1">
        <v>40</v>
      </c>
      <c r="B42" s="3">
        <v>44327</v>
      </c>
      <c r="E42">
        <f t="shared" si="5"/>
        <v>0</v>
      </c>
      <c r="F42" s="2" t="e">
        <f t="shared" si="3"/>
        <v>#DIV/0!</v>
      </c>
    </row>
    <row r="43" spans="1:6" x14ac:dyDescent="0.25">
      <c r="A43" s="1">
        <v>41</v>
      </c>
      <c r="B43" s="3">
        <v>44207</v>
      </c>
      <c r="E43">
        <f t="shared" si="5"/>
        <v>0</v>
      </c>
      <c r="F43" s="2" t="e">
        <f t="shared" si="3"/>
        <v>#DIV/0!</v>
      </c>
    </row>
    <row r="44" spans="1:6" x14ac:dyDescent="0.25">
      <c r="A44" s="1">
        <v>42</v>
      </c>
      <c r="B44" s="3">
        <v>44207</v>
      </c>
      <c r="E44">
        <f t="shared" si="5"/>
        <v>0</v>
      </c>
      <c r="F44" s="2" t="e">
        <f t="shared" si="3"/>
        <v>#DIV/0!</v>
      </c>
    </row>
    <row r="45" spans="1:6" x14ac:dyDescent="0.25">
      <c r="A45" s="1">
        <v>43</v>
      </c>
      <c r="B45" s="3">
        <v>44207</v>
      </c>
      <c r="E45">
        <f t="shared" si="5"/>
        <v>0</v>
      </c>
      <c r="F45" s="2" t="e">
        <f t="shared" si="3"/>
        <v>#DIV/0!</v>
      </c>
    </row>
    <row r="46" spans="1:6" x14ac:dyDescent="0.25">
      <c r="A46" s="1">
        <v>44</v>
      </c>
      <c r="B46" s="3">
        <v>44207</v>
      </c>
      <c r="E46">
        <f t="shared" si="5"/>
        <v>0</v>
      </c>
      <c r="F46" s="2" t="e">
        <f t="shared" si="3"/>
        <v>#DIV/0!</v>
      </c>
    </row>
    <row r="47" spans="1:6" x14ac:dyDescent="0.25">
      <c r="A47" s="1">
        <v>45</v>
      </c>
      <c r="B47" s="3">
        <v>44207</v>
      </c>
      <c r="E47">
        <f t="shared" si="5"/>
        <v>0</v>
      </c>
      <c r="F47" s="2" t="e">
        <f t="shared" si="3"/>
        <v>#DIV/0!</v>
      </c>
    </row>
    <row r="48" spans="1:6" x14ac:dyDescent="0.25">
      <c r="A48" s="1">
        <v>46</v>
      </c>
      <c r="B48" s="3">
        <v>44207</v>
      </c>
      <c r="E48">
        <f t="shared" si="5"/>
        <v>0</v>
      </c>
      <c r="F48" s="2" t="e">
        <f t="shared" si="3"/>
        <v>#DIV/0!</v>
      </c>
    </row>
    <row r="49" spans="1:6" x14ac:dyDescent="0.25">
      <c r="A49" s="1">
        <v>47</v>
      </c>
      <c r="B49" s="3">
        <v>44207</v>
      </c>
      <c r="E49">
        <f t="shared" si="5"/>
        <v>0</v>
      </c>
      <c r="F49" s="2" t="e">
        <f t="shared" si="3"/>
        <v>#DIV/0!</v>
      </c>
    </row>
    <row r="50" spans="1:6" x14ac:dyDescent="0.25">
      <c r="A50" s="1">
        <v>48</v>
      </c>
      <c r="B50" s="3">
        <v>44207</v>
      </c>
      <c r="E50">
        <f t="shared" si="5"/>
        <v>0</v>
      </c>
      <c r="F50" s="2" t="e">
        <f t="shared" si="3"/>
        <v>#DIV/0!</v>
      </c>
    </row>
  </sheetData>
  <mergeCells count="3">
    <mergeCell ref="B1:F1"/>
    <mergeCell ref="G1:L1"/>
    <mergeCell ref="M1:S1"/>
  </mergeCells>
  <phoneticPr fontId="3" type="noConversion"/>
  <pageMargins left="0.7" right="0.7" top="0.75" bottom="0.75" header="0.3" footer="0.3"/>
  <pageSetup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 BOARD</vt:lpstr>
      <vt:lpstr>GRANULAR ANALYSIS</vt:lpstr>
      <vt:lpstr>AKWAKUMA HTS</vt:lpstr>
      <vt:lpstr>MBEIRI 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CFHI</dc:creator>
  <cp:lastModifiedBy>Emmanuel Ndifreke</cp:lastModifiedBy>
  <dcterms:created xsi:type="dcterms:W3CDTF">2021-08-16T06:42:50Z</dcterms:created>
  <dcterms:modified xsi:type="dcterms:W3CDTF">2021-10-18T11:11:03Z</dcterms:modified>
</cp:coreProperties>
</file>