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HI SI OFFICER\Desktop\CFHI DATA COLLECTION TOOL\"/>
    </mc:Choice>
  </mc:AlternateContent>
  <workbookProtection workbookAlgorithmName="SHA-512" workbookHashValue="livKk5ccLY7DStbG475SXoAREqfQTrVmcLAyRkpL01b6lmIvxU0AkIEjCQm2nubkcxpOAsyQL9I5Vnd4155neg==" workbookSaltValue="SS1df+ESWyaEqDoBXljYPg==" workbookSpinCount="100000" lockStructure="1"/>
  <bookViews>
    <workbookView xWindow="0" yWindow="0" windowWidth="23040" windowHeight="9192" activeTab="4"/>
  </bookViews>
  <sheets>
    <sheet name="DASHBOARD" sheetId="5" r:id="rId1"/>
    <sheet name="APRIL" sheetId="1" r:id="rId2"/>
    <sheet name="MAY" sheetId="4" r:id="rId3"/>
    <sheet name="JUNE" sheetId="3" r:id="rId4"/>
    <sheet name="Q3" sheetId="6" r:id="rId5"/>
  </sheets>
  <definedNames>
    <definedName name="_xlnm._FilterDatabase" localSheetId="1" hidden="1">APRIL!$A$1:$N$48</definedName>
    <definedName name="_xlnm._FilterDatabase" localSheetId="3" hidden="1">JUNE!$A$1:$N$1</definedName>
    <definedName name="_xlnm._FilterDatabase" localSheetId="2" hidden="1">MAY!$A$1:$N$1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6" l="1"/>
  <c r="K26" i="6" l="1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7" i="6"/>
  <c r="K6" i="6"/>
  <c r="K5" i="6"/>
  <c r="K4" i="6"/>
  <c r="K3" i="6"/>
  <c r="K2" i="6"/>
  <c r="K27" i="6" l="1"/>
  <c r="J3" i="1"/>
  <c r="J4" i="1"/>
  <c r="J5" i="1"/>
  <c r="J6" i="1"/>
  <c r="J8" i="1"/>
  <c r="J9" i="1"/>
  <c r="J10" i="1"/>
  <c r="J13" i="1"/>
  <c r="J16" i="1"/>
  <c r="J19" i="1"/>
  <c r="J20" i="1"/>
  <c r="I47" i="3" l="1"/>
  <c r="I48" i="3" s="1"/>
  <c r="H47" i="3"/>
  <c r="H48" i="3" s="1"/>
  <c r="G47" i="3"/>
  <c r="F47" i="3"/>
  <c r="F48" i="3" s="1"/>
  <c r="M29" i="3" s="1"/>
  <c r="E47" i="3"/>
  <c r="D47" i="3"/>
  <c r="D48" i="3" s="1"/>
  <c r="M30" i="3" s="1"/>
  <c r="J44" i="3"/>
  <c r="J42" i="3"/>
  <c r="J41" i="3"/>
  <c r="J39" i="3"/>
  <c r="J38" i="3"/>
  <c r="J36" i="3"/>
  <c r="J35" i="3"/>
  <c r="J33" i="3"/>
  <c r="J32" i="3"/>
  <c r="J30" i="3"/>
  <c r="J27" i="3"/>
  <c r="N26" i="3"/>
  <c r="M26" i="3"/>
  <c r="K44" i="3" s="1"/>
  <c r="J26" i="3"/>
  <c r="N25" i="3"/>
  <c r="M25" i="3"/>
  <c r="K42" i="3" s="1"/>
  <c r="N24" i="3"/>
  <c r="M24" i="3"/>
  <c r="K41" i="3" s="1"/>
  <c r="J24" i="3"/>
  <c r="N23" i="3"/>
  <c r="M23" i="3"/>
  <c r="K39" i="3" s="1"/>
  <c r="J23" i="3"/>
  <c r="N22" i="3"/>
  <c r="M22" i="3"/>
  <c r="K38" i="3" s="1"/>
  <c r="N21" i="3"/>
  <c r="M21" i="3"/>
  <c r="K36" i="3" s="1"/>
  <c r="N20" i="3"/>
  <c r="M20" i="3"/>
  <c r="K35" i="3" s="1"/>
  <c r="J20" i="3"/>
  <c r="N19" i="3"/>
  <c r="M19" i="3"/>
  <c r="K33" i="3" s="1"/>
  <c r="J19" i="3"/>
  <c r="N18" i="3"/>
  <c r="M18" i="3"/>
  <c r="K32" i="3" s="1"/>
  <c r="N17" i="3"/>
  <c r="M17" i="3"/>
  <c r="K30" i="3" s="1"/>
  <c r="N16" i="3"/>
  <c r="M16" i="3"/>
  <c r="K27" i="3" s="1"/>
  <c r="J16" i="3"/>
  <c r="N15" i="3"/>
  <c r="M15" i="3"/>
  <c r="K26" i="3" s="1"/>
  <c r="N14" i="3"/>
  <c r="M14" i="3"/>
  <c r="K24" i="3" s="1"/>
  <c r="N13" i="3"/>
  <c r="M13" i="3"/>
  <c r="K23" i="3" s="1"/>
  <c r="J13" i="3"/>
  <c r="N12" i="3"/>
  <c r="M12" i="3"/>
  <c r="K20" i="3" s="1"/>
  <c r="N11" i="3"/>
  <c r="M11" i="3"/>
  <c r="K19" i="3" s="1"/>
  <c r="N10" i="3"/>
  <c r="M10" i="3"/>
  <c r="K16" i="3" s="1"/>
  <c r="J10" i="3"/>
  <c r="N9" i="3"/>
  <c r="M9" i="3"/>
  <c r="K13" i="3" s="1"/>
  <c r="J9" i="3"/>
  <c r="N8" i="3"/>
  <c r="M8" i="3"/>
  <c r="K10" i="3" s="1"/>
  <c r="J8" i="3"/>
  <c r="N7" i="3"/>
  <c r="M7" i="3"/>
  <c r="K9" i="3" s="1"/>
  <c r="N6" i="3"/>
  <c r="M6" i="3"/>
  <c r="K8" i="3" s="1"/>
  <c r="J6" i="3"/>
  <c r="N5" i="3"/>
  <c r="M5" i="3"/>
  <c r="K6" i="3" s="1"/>
  <c r="J5" i="3"/>
  <c r="N4" i="3"/>
  <c r="M4" i="3"/>
  <c r="K5" i="3" s="1"/>
  <c r="J4" i="3"/>
  <c r="N3" i="3"/>
  <c r="M3" i="3"/>
  <c r="K4" i="3" s="1"/>
  <c r="J3" i="3"/>
  <c r="N2" i="3"/>
  <c r="M2" i="3"/>
  <c r="I47" i="4"/>
  <c r="I48" i="4" s="1"/>
  <c r="H47" i="4"/>
  <c r="H48" i="4" s="1"/>
  <c r="G47" i="4"/>
  <c r="F47" i="4"/>
  <c r="F48" i="4" s="1"/>
  <c r="E47" i="4"/>
  <c r="D47" i="4"/>
  <c r="D48" i="4" s="1"/>
  <c r="J44" i="4"/>
  <c r="J42" i="4"/>
  <c r="J41" i="4"/>
  <c r="J39" i="4"/>
  <c r="J38" i="4"/>
  <c r="J36" i="4"/>
  <c r="J35" i="4"/>
  <c r="J33" i="4"/>
  <c r="J32" i="4"/>
  <c r="J30" i="4"/>
  <c r="J27" i="4"/>
  <c r="N26" i="4"/>
  <c r="M26" i="4"/>
  <c r="K44" i="4" s="1"/>
  <c r="J26" i="4"/>
  <c r="N25" i="4"/>
  <c r="M25" i="4"/>
  <c r="K42" i="4" s="1"/>
  <c r="N24" i="4"/>
  <c r="M24" i="4"/>
  <c r="K41" i="4" s="1"/>
  <c r="J24" i="4"/>
  <c r="N23" i="4"/>
  <c r="M23" i="4"/>
  <c r="K39" i="4" s="1"/>
  <c r="J23" i="4"/>
  <c r="N22" i="4"/>
  <c r="M22" i="4"/>
  <c r="K38" i="4" s="1"/>
  <c r="N21" i="4"/>
  <c r="M21" i="4"/>
  <c r="K36" i="4" s="1"/>
  <c r="N20" i="4"/>
  <c r="M20" i="4"/>
  <c r="K35" i="4" s="1"/>
  <c r="J20" i="4"/>
  <c r="N19" i="4"/>
  <c r="M19" i="4"/>
  <c r="K33" i="4" s="1"/>
  <c r="J19" i="4"/>
  <c r="N18" i="4"/>
  <c r="M18" i="4"/>
  <c r="K32" i="4" s="1"/>
  <c r="N17" i="4"/>
  <c r="M17" i="4"/>
  <c r="K30" i="4" s="1"/>
  <c r="N16" i="4"/>
  <c r="M16" i="4"/>
  <c r="K27" i="4" s="1"/>
  <c r="J16" i="4"/>
  <c r="N15" i="4"/>
  <c r="M15" i="4"/>
  <c r="K26" i="4" s="1"/>
  <c r="N14" i="4"/>
  <c r="M14" i="4"/>
  <c r="K24" i="4" s="1"/>
  <c r="N13" i="4"/>
  <c r="M13" i="4"/>
  <c r="K23" i="4" s="1"/>
  <c r="J13" i="4"/>
  <c r="N12" i="4"/>
  <c r="M12" i="4"/>
  <c r="K20" i="4" s="1"/>
  <c r="N11" i="4"/>
  <c r="M11" i="4"/>
  <c r="K19" i="4" s="1"/>
  <c r="N10" i="4"/>
  <c r="M10" i="4"/>
  <c r="K16" i="4" s="1"/>
  <c r="J10" i="4"/>
  <c r="N9" i="4"/>
  <c r="M9" i="4"/>
  <c r="K13" i="4" s="1"/>
  <c r="J9" i="4"/>
  <c r="N8" i="4"/>
  <c r="M8" i="4"/>
  <c r="K10" i="4" s="1"/>
  <c r="J8" i="4"/>
  <c r="N7" i="4"/>
  <c r="M7" i="4"/>
  <c r="K9" i="4" s="1"/>
  <c r="N6" i="4"/>
  <c r="M6" i="4"/>
  <c r="K8" i="4" s="1"/>
  <c r="J6" i="4"/>
  <c r="N5" i="4"/>
  <c r="M5" i="4"/>
  <c r="K6" i="4" s="1"/>
  <c r="J5" i="4"/>
  <c r="N4" i="4"/>
  <c r="M4" i="4"/>
  <c r="K5" i="4" s="1"/>
  <c r="J4" i="4"/>
  <c r="N3" i="4"/>
  <c r="M3" i="4"/>
  <c r="K4" i="4" s="1"/>
  <c r="J3" i="4"/>
  <c r="N2" i="4"/>
  <c r="M2" i="4"/>
  <c r="K3" i="4" s="1"/>
  <c r="I47" i="1"/>
  <c r="I48" i="1" s="1"/>
  <c r="H47" i="1"/>
  <c r="K28" i="6" s="1"/>
  <c r="G47" i="1"/>
  <c r="F47" i="1"/>
  <c r="F48" i="1" s="1"/>
  <c r="E47" i="1"/>
  <c r="D47" i="1"/>
  <c r="D48" i="1" s="1"/>
  <c r="J44" i="1"/>
  <c r="J42" i="1"/>
  <c r="J41" i="1"/>
  <c r="J39" i="1"/>
  <c r="J38" i="1"/>
  <c r="J36" i="1"/>
  <c r="J35" i="1"/>
  <c r="J33" i="1"/>
  <c r="J32" i="1"/>
  <c r="J30" i="1"/>
  <c r="J27" i="1"/>
  <c r="N26" i="1"/>
  <c r="M26" i="1"/>
  <c r="J26" i="1"/>
  <c r="N25" i="1"/>
  <c r="M25" i="1"/>
  <c r="N24" i="1"/>
  <c r="M24" i="1"/>
  <c r="J24" i="1"/>
  <c r="N23" i="1"/>
  <c r="M23" i="1"/>
  <c r="J23" i="1"/>
  <c r="N22" i="1"/>
  <c r="M22" i="1"/>
  <c r="N21" i="1"/>
  <c r="M21" i="1"/>
  <c r="N20" i="1"/>
  <c r="M20" i="1"/>
  <c r="N19" i="1"/>
  <c r="M19" i="1"/>
  <c r="B19" i="6" s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B2" i="6" s="1"/>
  <c r="N27" i="3" l="1"/>
  <c r="H48" i="1"/>
  <c r="M30" i="1" s="1"/>
  <c r="M29" i="4"/>
  <c r="M27" i="3"/>
  <c r="K47" i="3" s="1"/>
  <c r="K3" i="3"/>
  <c r="N27" i="4"/>
  <c r="M27" i="4"/>
  <c r="K47" i="4" s="1"/>
  <c r="M30" i="4"/>
  <c r="B14" i="6"/>
  <c r="K24" i="1"/>
  <c r="K35" i="1"/>
  <c r="B20" i="6"/>
  <c r="K33" i="1"/>
  <c r="K27" i="1"/>
  <c r="B16" i="6"/>
  <c r="B18" i="6"/>
  <c r="K32" i="1"/>
  <c r="B22" i="6"/>
  <c r="K38" i="1"/>
  <c r="K42" i="1"/>
  <c r="B25" i="6"/>
  <c r="K36" i="1"/>
  <c r="B21" i="6"/>
  <c r="K41" i="1"/>
  <c r="B24" i="6"/>
  <c r="B13" i="6"/>
  <c r="K23" i="1"/>
  <c r="K26" i="1"/>
  <c r="B15" i="6"/>
  <c r="K30" i="1"/>
  <c r="B17" i="6"/>
  <c r="B23" i="6"/>
  <c r="K39" i="1"/>
  <c r="B26" i="6"/>
  <c r="K44" i="1"/>
  <c r="K3" i="1"/>
  <c r="B6" i="6"/>
  <c r="K8" i="1"/>
  <c r="B12" i="6"/>
  <c r="K20" i="1"/>
  <c r="B8" i="6"/>
  <c r="K10" i="1"/>
  <c r="B3" i="6"/>
  <c r="K4" i="1"/>
  <c r="B7" i="6"/>
  <c r="K9" i="1"/>
  <c r="B9" i="6"/>
  <c r="K13" i="1"/>
  <c r="B11" i="6"/>
  <c r="K19" i="1"/>
  <c r="B4" i="6"/>
  <c r="K5" i="1"/>
  <c r="B10" i="6"/>
  <c r="K16" i="1"/>
  <c r="B5" i="6"/>
  <c r="K6" i="1"/>
  <c r="N27" i="1"/>
  <c r="M29" i="1"/>
  <c r="F7" i="6"/>
  <c r="F4" i="6" s="1"/>
  <c r="G4" i="6" s="1"/>
  <c r="F15" i="6"/>
  <c r="J47" i="1"/>
  <c r="J47" i="4"/>
  <c r="J47" i="3"/>
  <c r="M27" i="1"/>
  <c r="B27" i="6" l="1"/>
  <c r="F3" i="6"/>
  <c r="F5" i="6"/>
  <c r="G5" i="6" s="1"/>
  <c r="F12" i="6"/>
  <c r="G12" i="6" s="1"/>
  <c r="F13" i="6"/>
  <c r="G13" i="6" s="1"/>
  <c r="F11" i="6"/>
  <c r="K47" i="1"/>
  <c r="F14" i="6" l="1"/>
  <c r="G11" i="6"/>
  <c r="G3" i="6"/>
  <c r="F6" i="6"/>
</calcChain>
</file>

<file path=xl/sharedStrings.xml><?xml version="1.0" encoding="utf-8"?>
<sst xmlns="http://schemas.openxmlformats.org/spreadsheetml/2006/main" count="479" uniqueCount="96">
  <si>
    <t>S/N</t>
  </si>
  <si>
    <t>Salihu Dimas Gode</t>
  </si>
  <si>
    <t>Emmanuel Mluwa Theresa</t>
  </si>
  <si>
    <t>Kaka Aminu</t>
  </si>
  <si>
    <t>Yunusa Nura</t>
  </si>
  <si>
    <t>Joseph Abigail</t>
  </si>
  <si>
    <t xml:space="preserve">Joseph Moses Bawa </t>
  </si>
  <si>
    <t>Ekeh Jane</t>
  </si>
  <si>
    <t>Ajiri Micheal</t>
  </si>
  <si>
    <t>Celina Ojo</t>
  </si>
  <si>
    <t>John Agnes</t>
  </si>
  <si>
    <t>Iliya Arziki</t>
  </si>
  <si>
    <t>Zacchaeus Yusuf Peter</t>
  </si>
  <si>
    <t>Elijah Obasanjo Sangson</t>
  </si>
  <si>
    <t>Yakubu Blessing</t>
  </si>
  <si>
    <t>Fenu Shekwolumi</t>
  </si>
  <si>
    <t>Ibrahim Hadiza</t>
  </si>
  <si>
    <t>Sarah Hillary Kiyatti</t>
  </si>
  <si>
    <t>Saleh Babale</t>
  </si>
  <si>
    <t>Bilikisu Yakubu</t>
  </si>
  <si>
    <t>Solomon P. Kwartong</t>
  </si>
  <si>
    <t>Yakubu Hassaina</t>
  </si>
  <si>
    <t>Esther Zaka</t>
  </si>
  <si>
    <t>Aisha Ahmed</t>
  </si>
  <si>
    <t>Faith Kolade Ibigbemi</t>
  </si>
  <si>
    <t>Tanko Dantani</t>
  </si>
  <si>
    <t>Ali Gambo</t>
  </si>
  <si>
    <t>Ruth Anna Omijie</t>
  </si>
  <si>
    <t>Musa Yahaya</t>
  </si>
  <si>
    <t>Sunday Esther</t>
  </si>
  <si>
    <t>Mariam Idde</t>
  </si>
  <si>
    <t>Baba N. Daniel</t>
  </si>
  <si>
    <t>Iloh Constance .C</t>
  </si>
  <si>
    <t>Danlami Sunday</t>
  </si>
  <si>
    <t>Ismaila Rukiya</t>
  </si>
  <si>
    <t>Rashida Ohunene Jegede</t>
  </si>
  <si>
    <t>Patricial Emmanuel</t>
  </si>
  <si>
    <t>Chinwuba Lilian Chiamaka</t>
  </si>
  <si>
    <t>Akume A. Godwin</t>
  </si>
  <si>
    <t>Rashida Saidu</t>
  </si>
  <si>
    <t>Ugwu Virginus</t>
  </si>
  <si>
    <t>Ibrahim Lamishi</t>
  </si>
  <si>
    <t>Emmanuel Queen</t>
  </si>
  <si>
    <t>Bashiratu Yunusa</t>
  </si>
  <si>
    <t>Maryam Abdulazeez</t>
  </si>
  <si>
    <t>Lugbe</t>
  </si>
  <si>
    <t>Sauka</t>
  </si>
  <si>
    <t>Kabusa</t>
  </si>
  <si>
    <t>Jahi</t>
  </si>
  <si>
    <t>Gishiri</t>
  </si>
  <si>
    <t>Sabo-lugbe</t>
  </si>
  <si>
    <t>Old Karimo</t>
  </si>
  <si>
    <t>Angwa-sayawa</t>
  </si>
  <si>
    <t>Kapwa</t>
  </si>
  <si>
    <t>Dape</t>
  </si>
  <si>
    <t>Tundun wada</t>
  </si>
  <si>
    <t>Kaba</t>
  </si>
  <si>
    <t>Saburi 2</t>
  </si>
  <si>
    <t>Deidei</t>
  </si>
  <si>
    <t>Mabuchi</t>
  </si>
  <si>
    <t>Saburi 1</t>
  </si>
  <si>
    <t>Apo Dutse/Wumba</t>
  </si>
  <si>
    <t>Gosa</t>
  </si>
  <si>
    <t>Wumba</t>
  </si>
  <si>
    <t>New Karmo</t>
  </si>
  <si>
    <t>Iddo Pada</t>
  </si>
  <si>
    <t>Waru</t>
  </si>
  <si>
    <t>Kagini</t>
  </si>
  <si>
    <t>Jiwa</t>
  </si>
  <si>
    <t>Paipe</t>
  </si>
  <si>
    <t>Old Karmo</t>
  </si>
  <si>
    <t xml:space="preserve">Graduated </t>
  </si>
  <si>
    <t>VC</t>
  </si>
  <si>
    <t>SERVICES</t>
  </si>
  <si>
    <t>HH</t>
  </si>
  <si>
    <t>NUMBER OF HOUSE HOLD GRADUATED</t>
  </si>
  <si>
    <t>TOTAL</t>
  </si>
  <si>
    <t>HH_SERV</t>
  </si>
  <si>
    <t>HH_GRAD</t>
  </si>
  <si>
    <t>TARGETS BY HH</t>
  </si>
  <si>
    <t>TAREGETS MET IN %</t>
  </si>
  <si>
    <t>VOLUNTEER</t>
  </si>
  <si>
    <t>Community</t>
  </si>
  <si>
    <t>HOUSE HOLD GRADUATED FROM APRIL-JUNE 2020</t>
  </si>
  <si>
    <t>HH_GRAD TOTAL</t>
  </si>
  <si>
    <t>APRIL</t>
  </si>
  <si>
    <t>MONTH</t>
  </si>
  <si>
    <t>MAY</t>
  </si>
  <si>
    <t>JUNE</t>
  </si>
  <si>
    <t>TARGET TOTAL</t>
  </si>
  <si>
    <t>Column1</t>
  </si>
  <si>
    <t>HOUSE HOLD SERVED FROM APRIL-JUNE 2020</t>
  </si>
  <si>
    <t>HH_SERVED TOTAL</t>
  </si>
  <si>
    <t>%TARGET MET HH_GRAD</t>
  </si>
  <si>
    <t>%TARGET MET HH_SERV</t>
  </si>
  <si>
    <t>TOTAL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</si>
</sst>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1"/>
      <color theme="1"/>
      <name val="Berlin Sans FB Demi"/>
      <family val="2"/>
    </font>
    <font>
      <sz val="11"/>
      <color theme="1"/>
      <name val="Cooper Black"/>
      <family val="1"/>
    </font>
    <font>
      <b/>
      <sz val="18"/>
      <color theme="1"/>
      <name val="Calibri"/>
      <family val="2"/>
      <scheme val="minor"/>
    </font>
    <font>
      <b/>
      <sz val="18"/>
      <color theme="1"/>
      <name val="Bernard MT Condensed"/>
      <family val="1"/>
    </font>
    <font>
      <sz val="11"/>
      <color theme="1"/>
      <name val="Franklin Gothic Heavy"/>
      <family val="2"/>
    </font>
    <font>
      <b/>
      <sz val="11"/>
      <color theme="1"/>
      <name val="Franklin Gothic Medium Cond"/>
      <family val="2"/>
    </font>
    <font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sz val="9"/>
      <name val="Calibri Light"/>
      <family val="1"/>
      <scheme val="major"/>
    </font>
    <font>
      <b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11" borderId="6" applyNumberFormat="0" applyAlignment="0" applyProtection="0"/>
  </cellStyleXfs>
  <cellXfs count="74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5" fillId="4" borderId="0" xfId="0" applyFont="1" applyFill="1"/>
    <xf numFmtId="0" fontId="6" fillId="2" borderId="0" xfId="0" applyFont="1" applyFill="1"/>
    <xf numFmtId="0" fontId="2" fillId="0" borderId="2" xfId="0" applyFont="1" applyFill="1" applyBorder="1"/>
    <xf numFmtId="0" fontId="3" fillId="6" borderId="1" xfId="0" applyFont="1" applyFill="1" applyBorder="1"/>
    <xf numFmtId="0" fontId="7" fillId="6" borderId="1" xfId="0" applyFont="1" applyFill="1" applyBorder="1"/>
    <xf numFmtId="0" fontId="2" fillId="3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0" borderId="1" xfId="0" applyFont="1" applyBorder="1"/>
    <xf numFmtId="0" fontId="12" fillId="0" borderId="1" xfId="0" applyFont="1" applyBorder="1" applyProtection="1">
      <protection locked="0"/>
    </xf>
    <xf numFmtId="0" fontId="12" fillId="0" borderId="1" xfId="0" applyFont="1" applyBorder="1"/>
    <xf numFmtId="0" fontId="11" fillId="0" borderId="1" xfId="0" applyFont="1" applyBorder="1" applyAlignment="1">
      <alignment wrapText="1"/>
    </xf>
    <xf numFmtId="0" fontId="13" fillId="0" borderId="1" xfId="0" applyFont="1" applyFill="1" applyBorder="1"/>
    <xf numFmtId="0" fontId="11" fillId="0" borderId="1" xfId="0" applyFont="1" applyFill="1" applyBorder="1"/>
    <xf numFmtId="0" fontId="13" fillId="0" borderId="0" xfId="0" applyFont="1" applyAlignment="1">
      <alignment wrapText="1"/>
    </xf>
    <xf numFmtId="0" fontId="13" fillId="0" borderId="0" xfId="0" applyFont="1"/>
    <xf numFmtId="0" fontId="12" fillId="0" borderId="0" xfId="0" applyFont="1"/>
    <xf numFmtId="0" fontId="14" fillId="3" borderId="0" xfId="0" applyFont="1" applyFill="1"/>
    <xf numFmtId="9" fontId="14" fillId="3" borderId="0" xfId="0" applyNumberFormat="1" applyFont="1" applyFill="1"/>
    <xf numFmtId="0" fontId="11" fillId="0" borderId="3" xfId="0" applyFont="1" applyBorder="1"/>
    <xf numFmtId="0" fontId="13" fillId="0" borderId="3" xfId="0" applyFont="1" applyFill="1" applyBorder="1"/>
    <xf numFmtId="0" fontId="11" fillId="0" borderId="3" xfId="0" applyFont="1" applyBorder="1" applyAlignment="1">
      <alignment wrapText="1"/>
    </xf>
    <xf numFmtId="0" fontId="12" fillId="0" borderId="3" xfId="0" applyFont="1" applyBorder="1"/>
    <xf numFmtId="0" fontId="13" fillId="0" borderId="3" xfId="0" applyFont="1" applyBorder="1"/>
    <xf numFmtId="0" fontId="0" fillId="0" borderId="0" xfId="0" applyFill="1" applyBorder="1"/>
    <xf numFmtId="0" fontId="0" fillId="0" borderId="0" xfId="0" applyBorder="1"/>
    <xf numFmtId="0" fontId="0" fillId="0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9" fontId="0" fillId="0" borderId="0" xfId="1" applyFont="1"/>
    <xf numFmtId="9" fontId="0" fillId="3" borderId="0" xfId="1" applyFont="1" applyFill="1"/>
    <xf numFmtId="0" fontId="0" fillId="2" borderId="0" xfId="0" applyFill="1" applyAlignment="1">
      <alignment horizontal="left"/>
    </xf>
    <xf numFmtId="1" fontId="0" fillId="2" borderId="0" xfId="0" applyNumberFormat="1" applyFill="1"/>
    <xf numFmtId="9" fontId="0" fillId="3" borderId="0" xfId="0" applyNumberFormat="1" applyFill="1"/>
    <xf numFmtId="0" fontId="11" fillId="2" borderId="5" xfId="0" applyFont="1" applyFill="1" applyBorder="1"/>
    <xf numFmtId="0" fontId="0" fillId="2" borderId="0" xfId="0" applyFill="1"/>
    <xf numFmtId="0" fontId="11" fillId="9" borderId="5" xfId="0" applyFont="1" applyFill="1" applyBorder="1"/>
    <xf numFmtId="0" fontId="0" fillId="10" borderId="0" xfId="0" applyFill="1"/>
    <xf numFmtId="9" fontId="15" fillId="0" borderId="0" xfId="1" applyFont="1"/>
    <xf numFmtId="0" fontId="15" fillId="0" borderId="0" xfId="0" applyFont="1"/>
    <xf numFmtId="9" fontId="0" fillId="10" borderId="0" xfId="1" applyNumberFormat="1" applyFont="1" applyFill="1"/>
    <xf numFmtId="9" fontId="0" fillId="10" borderId="0" xfId="0" applyNumberFormat="1" applyFill="1"/>
    <xf numFmtId="9" fontId="12" fillId="5" borderId="1" xfId="1" applyFont="1" applyFill="1" applyBorder="1"/>
    <xf numFmtId="9" fontId="12" fillId="5" borderId="1" xfId="0" applyNumberFormat="1" applyFont="1" applyFill="1" applyBorder="1"/>
    <xf numFmtId="0" fontId="2" fillId="5" borderId="2" xfId="0" applyFont="1" applyFill="1" applyBorder="1"/>
    <xf numFmtId="0" fontId="16" fillId="11" borderId="6" xfId="2"/>
    <xf numFmtId="1" fontId="16" fillId="11" borderId="6" xfId="2" applyNumberFormat="1"/>
    <xf numFmtId="1" fontId="16" fillId="9" borderId="6" xfId="2" applyNumberFormat="1" applyFill="1"/>
    <xf numFmtId="1" fontId="0" fillId="9" borderId="1" xfId="0" applyNumberFormat="1" applyFill="1" applyBorder="1"/>
    <xf numFmtId="9" fontId="15" fillId="0" borderId="0" xfId="0" applyNumberFormat="1" applyFont="1"/>
    <xf numFmtId="0" fontId="15" fillId="0" borderId="0" xfId="0" applyFont="1" applyFill="1"/>
    <xf numFmtId="0" fontId="8" fillId="6" borderId="4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7" fillId="12" borderId="1" xfId="0" applyFont="1" applyFill="1" applyBorder="1"/>
    <xf numFmtId="0" fontId="15" fillId="12" borderId="1" xfId="0" applyFont="1" applyFill="1" applyBorder="1"/>
    <xf numFmtId="0" fontId="17" fillId="12" borderId="7" xfId="0" applyFont="1" applyFill="1" applyBorder="1"/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2" fillId="0" borderId="7" xfId="0" applyFont="1" applyBorder="1"/>
    <xf numFmtId="0" fontId="11" fillId="0" borderId="7" xfId="0" applyFont="1" applyBorder="1"/>
    <xf numFmtId="0" fontId="16" fillId="11" borderId="8" xfId="2" applyBorder="1"/>
    <xf numFmtId="0" fontId="8" fillId="6" borderId="1" xfId="0" applyFont="1" applyFill="1" applyBorder="1" applyAlignment="1">
      <alignment horizontal="center"/>
    </xf>
    <xf numFmtId="0" fontId="6" fillId="2" borderId="1" xfId="0" applyFont="1" applyFill="1" applyBorder="1"/>
    <xf numFmtId="0" fontId="10" fillId="5" borderId="1" xfId="0" applyFont="1" applyFill="1" applyBorder="1"/>
    <xf numFmtId="0" fontId="9" fillId="5" borderId="1" xfId="0" applyFont="1" applyFill="1" applyBorder="1"/>
    <xf numFmtId="0" fontId="5" fillId="4" borderId="1" xfId="0" applyFont="1" applyFill="1" applyBorder="1"/>
  </cellXfs>
  <cellStyles count="3">
    <cellStyle name="Calculation" xfId="2" builtinId="22"/>
    <cellStyle name="Normal" xfId="0" builtinId="0"/>
    <cellStyle name="Percent" xfId="1" builtinId="5"/>
  </cellStyles>
  <dxfs count="3"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HH_GRAD JUNE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JUNE!$L$2:$L$26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JUNE!$M$2:$M$26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5-49E0-8942-2BE84793D214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JUNE!$L$2:$L$26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JUNE!$N$2:$N$26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5-49E0-8942-2BE84793D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1975666304"/>
        <c:axId val="123324896"/>
      </c:barChart>
      <c:catAx>
        <c:axId val="197566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4896"/>
        <c:crosses val="autoZero"/>
        <c:auto val="1"/>
        <c:lblAlgn val="ctr"/>
        <c:lblOffset val="100"/>
        <c:noMultiLvlLbl val="0"/>
      </c:catAx>
      <c:valAx>
        <c:axId val="123324896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66630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HH_GRAD APRIL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APRIL!$L$2:$L$26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APRIL!$M$2:$M$26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B-4500-AE55-4913F536DB31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APRIL!$L$2:$L$26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APRIL!$N$2:$N$26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B-4500-AE55-4913F536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27168000"/>
        <c:axId val="1827142208"/>
      </c:barChart>
      <c:catAx>
        <c:axId val="182716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42208"/>
        <c:crosses val="autoZero"/>
        <c:auto val="1"/>
        <c:lblAlgn val="ctr"/>
        <c:lblOffset val="100"/>
        <c:noMultiLvlLbl val="0"/>
      </c:catAx>
      <c:valAx>
        <c:axId val="182714220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16800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HH_GRAD MAY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MAY!$L$2:$L$26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MAY!$M$2:$M$26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1-4B9A-B820-69CD6CA777CE}"/>
            </c:ext>
          </c:extLst>
        </c:ser>
        <c:ser>
          <c:idx val="1"/>
          <c:order val="1"/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MAY!$L$2:$L$26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MAY!$N$2:$N$26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1-4B9A-B820-69CD6CA77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862798287"/>
        <c:axId val="862795791"/>
      </c:barChart>
      <c:catAx>
        <c:axId val="862798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795791"/>
        <c:crosses val="autoZero"/>
        <c:auto val="1"/>
        <c:lblAlgn val="ctr"/>
        <c:lblOffset val="100"/>
        <c:noMultiLvlLbl val="0"/>
      </c:catAx>
      <c:valAx>
        <c:axId val="862795791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79828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Q3 HH_GRAD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'Q3'!$F$2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'Q3'!$E$3:$E$5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'Q3'!$F$3:$F$5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8-4C1B-923F-6F0826E82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0181312"/>
        <c:axId val="1460179232"/>
      </c:barChart>
      <c:catAx>
        <c:axId val="146018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79232"/>
        <c:crosses val="autoZero"/>
        <c:auto val="1"/>
        <c:lblAlgn val="ctr"/>
        <c:lblOffset val="100"/>
        <c:noMultiLvlLbl val="0"/>
      </c:catAx>
      <c:valAx>
        <c:axId val="1460179232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8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HH_SERVED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'Q3'!$E$11:$E$13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'Q3'!$F$11:$F$13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1-4B7F-8EC2-D23362C41D1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83798016"/>
        <c:axId val="583921152"/>
      </c:barChart>
      <c:catAx>
        <c:axId val="58379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21152"/>
        <c:crosses val="autoZero"/>
        <c:auto val="1"/>
        <c:lblAlgn val="ctr"/>
        <c:lblOffset val="100"/>
        <c:noMultiLvlLbl val="0"/>
      </c:catAx>
      <c:valAx>
        <c:axId val="5839211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8379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HH_SERVED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'Q3'!$J$2:$J$26</c:f>
              <c:strCache>
                <c:ptCount val="25"/>
                <c:pt idx="0">
                  <c:v>Lugbe</c:v>
                </c:pt>
                <c:pt idx="1">
                  <c:v>Sauka</c:v>
                </c:pt>
                <c:pt idx="2">
                  <c:v>Kabusa</c:v>
                </c:pt>
                <c:pt idx="3">
                  <c:v>Jahi</c:v>
                </c:pt>
                <c:pt idx="4">
                  <c:v>Gishiri</c:v>
                </c:pt>
                <c:pt idx="5">
                  <c:v>Sabo-lugbe</c:v>
                </c:pt>
                <c:pt idx="6">
                  <c:v>Old Karimo</c:v>
                </c:pt>
                <c:pt idx="7">
                  <c:v>Angwa-sayawa</c:v>
                </c:pt>
                <c:pt idx="8">
                  <c:v>Kapwa</c:v>
                </c:pt>
                <c:pt idx="9">
                  <c:v>Dape</c:v>
                </c:pt>
                <c:pt idx="10">
                  <c:v>Tundun wada</c:v>
                </c:pt>
                <c:pt idx="11">
                  <c:v>Kaba</c:v>
                </c:pt>
                <c:pt idx="12">
                  <c:v>Saburi 2</c:v>
                </c:pt>
                <c:pt idx="13">
                  <c:v>Deidei</c:v>
                </c:pt>
                <c:pt idx="14">
                  <c:v>Mabuchi</c:v>
                </c:pt>
                <c:pt idx="15">
                  <c:v>Saburi 1</c:v>
                </c:pt>
                <c:pt idx="16">
                  <c:v>Apo Dutse/Wumba</c:v>
                </c:pt>
                <c:pt idx="17">
                  <c:v>Gosa</c:v>
                </c:pt>
                <c:pt idx="18">
                  <c:v>Wumba</c:v>
                </c:pt>
                <c:pt idx="19">
                  <c:v>New Karmo</c:v>
                </c:pt>
                <c:pt idx="20">
                  <c:v>Iddo Pada</c:v>
                </c:pt>
                <c:pt idx="21">
                  <c:v>Waru</c:v>
                </c:pt>
                <c:pt idx="22">
                  <c:v>Kagini</c:v>
                </c:pt>
                <c:pt idx="23">
                  <c:v>Jiwa</c:v>
                </c:pt>
                <c:pt idx="24">
                  <c:v>Paipe</c:v>
                </c:pt>
              </c:strCache>
            </c:strRef>
          </c:cat>
          <c:val>
            <c:numRef>
              <c:f>'Q3'!$K$2:$K$26</c:f>
              <c:numCache>
                <c:formatCode>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A-4D62-A253-8337767E8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95168592"/>
        <c:axId val="395170256"/>
      </c:barChart>
      <c:catAx>
        <c:axId val="39516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70256"/>
        <c:crosses val="autoZero"/>
        <c:auto val="1"/>
        <c:lblAlgn val="ctr"/>
        <c:lblOffset val="100"/>
        <c:noMultiLvlLbl val="0"/>
      </c:catAx>
      <c:valAx>
        <c:axId val="39517025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685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ACHIEVMENT</a:t>
            </a:r>
            <a:r>
              <a:rPr lang="en-GB" baseline="0"/>
              <a:t> JUNE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72-47DF-BFE3-481BC9193D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72-47DF-BFE3-481BC9193D4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JUNE!$L$29:$L$30</c:f>
              <c:strCache>
                <c:ptCount val="2"/>
                <c:pt idx="0">
                  <c:v>%TARGET MET HH_GRAD</c:v>
                </c:pt>
                <c:pt idx="1">
                  <c:v>%TARGET MET HH_SERV</c:v>
                </c:pt>
              </c:strCache>
            </c:strRef>
          </c:cat>
          <c:val>
            <c:numRef>
              <c:f>JUNE!$M$29:$M$30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72-47DF-BFE3-481BC9193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1022112"/>
        <c:axId val="1907202240"/>
      </c:barChart>
      <c:catAx>
        <c:axId val="209102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02240"/>
        <c:crosses val="autoZero"/>
        <c:auto val="1"/>
        <c:lblAlgn val="ctr"/>
        <c:lblOffset val="100"/>
        <c:noMultiLvlLbl val="0"/>
      </c:catAx>
      <c:valAx>
        <c:axId val="1907202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02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ACHIEVEMENT</a:t>
            </a:r>
            <a:r>
              <a:rPr lang="en-GB" baseline="0"/>
              <a:t> MAY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1F-48C8-A9CC-D14C1DBB234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1F-48C8-A9CC-D14C1DBB23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MAY!$L$29:$L$30</c:f>
              <c:strCache>
                <c:ptCount val="2"/>
                <c:pt idx="0">
                  <c:v>%TARGET MET HH_GRAD</c:v>
                </c:pt>
                <c:pt idx="1">
                  <c:v>%TARGET MET HH_SERV</c:v>
                </c:pt>
              </c:strCache>
            </c:strRef>
          </c:cat>
          <c:val>
            <c:numRef>
              <c:f>MAY!$M$29:$M$30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1F-48C8-A9CC-D14C1DBB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12071360"/>
        <c:axId val="2012105888"/>
      </c:barChart>
      <c:catAx>
        <c:axId val="201207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5888"/>
        <c:crosses val="autoZero"/>
        <c:auto val="1"/>
        <c:lblAlgn val="ctr"/>
        <c:lblOffset val="100"/>
        <c:noMultiLvlLbl val="0"/>
      </c:catAx>
      <c:valAx>
        <c:axId val="2012105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7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ACHIEVEMENT</a:t>
            </a:r>
            <a:r>
              <a:rPr lang="en-GB" baseline="0"/>
              <a:t> APRIL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3B-4840-94CE-F9FF32F52C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3B-4840-94CE-F9FF32F52C0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APRIL!$L$29:$L$30</c:f>
              <c:strCache>
                <c:ptCount val="2"/>
                <c:pt idx="0">
                  <c:v>%TARGET MET HH_GRAD</c:v>
                </c:pt>
                <c:pt idx="1">
                  <c:v>%TARGET MET HH_SERV</c:v>
                </c:pt>
              </c:strCache>
            </c:strRef>
          </c:cat>
          <c:val>
            <c:numRef>
              <c:f>APRIL!$M$29:$M$30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3B-4840-94CE-F9FF32F52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4628528"/>
        <c:axId val="2074617296"/>
      </c:barChart>
      <c:catAx>
        <c:axId val="207462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617296"/>
        <c:crosses val="autoZero"/>
        <c:auto val="1"/>
        <c:lblAlgn val="ctr"/>
        <c:lblOffset val="100"/>
        <c:noMultiLvlLbl val="0"/>
      </c:catAx>
      <c:valAx>
        <c:axId val="2074617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62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487680</xdr:colOff>
      <xdr:row>0</xdr:row>
      <xdr:rowOff>91440</xdr:rowOff>
    </xdr:from>
    <xdr:to>
      <xdr:col>19</xdr:col>
      <xdr:colOff>350520</xdr:colOff>
      <xdr:row>12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0</xdr:row>
      <xdr:rowOff>45720</xdr:rowOff>
    </xdr:from>
    <xdr:to>
      <xdr:col>6</xdr:col>
      <xdr:colOff>22860</xdr:colOff>
      <xdr:row>12</xdr:row>
      <xdr:rowOff>30480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</xdr:colOff>
      <xdr:row>0</xdr:row>
      <xdr:rowOff>38100</xdr:rowOff>
    </xdr:from>
    <xdr:to>
      <xdr:col>13</xdr:col>
      <xdr:colOff>91440</xdr:colOff>
      <xdr:row>11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373380</xdr:colOff>
      <xdr:row>12</xdr:row>
      <xdr:rowOff>91440</xdr:rowOff>
    </xdr:from>
    <xdr:to>
      <xdr:col>18</xdr:col>
      <xdr:colOff>548640</xdr:colOff>
      <xdr:row>24</xdr:row>
      <xdr:rowOff>91440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12</xdr:row>
      <xdr:rowOff>99060</xdr:rowOff>
    </xdr:from>
    <xdr:to>
      <xdr:col>5</xdr:col>
      <xdr:colOff>335280</xdr:colOff>
      <xdr:row>24</xdr:row>
      <xdr:rowOff>45720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121920</xdr:colOff>
      <xdr:row>12</xdr:row>
      <xdr:rowOff>76200</xdr:rowOff>
    </xdr:from>
    <xdr:to>
      <xdr:col>13</xdr:col>
      <xdr:colOff>205740</xdr:colOff>
      <xdr:row>24</xdr:row>
      <xdr:rowOff>91440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22860</xdr:colOff>
      <xdr:row>25</xdr:row>
      <xdr:rowOff>7620</xdr:rowOff>
    </xdr:from>
    <xdr:to>
      <xdr:col>22</xdr:col>
      <xdr:colOff>327660</xdr:colOff>
      <xdr:row>40</xdr:row>
      <xdr:rowOff>7620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312420</xdr:colOff>
      <xdr:row>25</xdr:row>
      <xdr:rowOff>0</xdr:rowOff>
    </xdr:from>
    <xdr:to>
      <xdr:col>15</xdr:col>
      <xdr:colOff>7620</xdr:colOff>
      <xdr:row>40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</xdr:row>
      <xdr:rowOff>167640</xdr:rowOff>
    </xdr:from>
    <xdr:to>
      <xdr:col>7</xdr:col>
      <xdr:colOff>304800</xdr:colOff>
      <xdr:row>39</xdr:row>
      <xdr:rowOff>167640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E2:G5" totalsRowShown="0" headerRowDxfId="2">
  <tableColumns count="3">
    <tableColumn id="1" name="MONTH"/>
    <tableColumn id="2" name="TOTAL" dataDxfId="1" dataCellStyle="Percent"/>
    <tableColumn id="3" name="Column1" dataDxfId="0">
      <calculatedColumnFormula>1-Table1[[#This Row],[TOTAL]]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E43" sqref="E43"/>
    </sheetView>
  </sheetViews>
  <sheetFormatPr defaultRowHeight="14.4" x14ac:dyDescent="0.3"/>
  <cols>
    <col min="1" max="16384" width="8.88671875" style="29"/>
  </cols>
  <sheetData>
    <row r="1" spans="1:1" x14ac:dyDescent="0.3">
      <c r="A1" s="28"/>
    </row>
  </sheetData>
  <sheetProtection algorithmName="SHA-512" hashValue="tc3H7UtrSgKlJigiN8xz0vbzG2XIJ9I2IJ0BvkVROuo3tGJhE17JqEUDLA5Qk0sPcBmN5OewYkHgI3I/V9K+KQ==" saltValue="7FkW+roiw78NQoZ2I87d8Q==" spinCount="100000" sheet="1" objects="1" scenarios="1" selectLockedCells="1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48"/>
  <sheetViews>
    <sheetView workbookViewId="0">
      <selection activeCell="I17" sqref="I17"/>
    </sheetView>
  </sheetViews>
  <sheetFormatPr defaultRowHeight="14.4" x14ac:dyDescent="0.3"/>
  <cols>
    <col min="1" max="1" width="3.77734375" customWidth="1"/>
    <col min="2" max="2" width="18.77734375" customWidth="1"/>
    <col min="3" max="3" width="16.6640625" customWidth="1"/>
    <col min="4" max="4" width="5.77734375" customWidth="1"/>
    <col min="5" max="5" width="7.5546875" customWidth="1"/>
    <col min="6" max="6" width="7.6640625" customWidth="1"/>
    <col min="7" max="7" width="7.109375" customWidth="1"/>
    <col min="8" max="8" width="10.5546875" customWidth="1"/>
    <col min="10" max="11" width="6.77734375" customWidth="1"/>
    <col min="12" max="12" width="38.33203125" customWidth="1"/>
    <col min="13" max="13" width="11" customWidth="1"/>
    <col min="14" max="14" width="6.77734375" customWidth="1"/>
  </cols>
  <sheetData>
    <row r="1" spans="1:14" ht="23.4" x14ac:dyDescent="0.45">
      <c r="A1" s="7" t="s">
        <v>0</v>
      </c>
      <c r="B1" s="8" t="s">
        <v>81</v>
      </c>
      <c r="C1" s="8" t="s">
        <v>82</v>
      </c>
      <c r="D1" s="69" t="s">
        <v>73</v>
      </c>
      <c r="E1" s="69"/>
      <c r="F1" s="69" t="s">
        <v>71</v>
      </c>
      <c r="G1" s="69"/>
      <c r="H1" s="70" t="s">
        <v>79</v>
      </c>
      <c r="I1" s="70"/>
      <c r="J1" s="71" t="s">
        <v>80</v>
      </c>
      <c r="K1" s="72"/>
      <c r="L1" s="73" t="s">
        <v>75</v>
      </c>
      <c r="M1" s="73" t="s">
        <v>74</v>
      </c>
      <c r="N1" s="73" t="s">
        <v>72</v>
      </c>
    </row>
    <row r="2" spans="1:14" ht="10.050000000000001" customHeight="1" x14ac:dyDescent="0.3">
      <c r="A2" s="63"/>
      <c r="B2" s="64"/>
      <c r="C2" s="65"/>
      <c r="D2" s="64" t="s">
        <v>74</v>
      </c>
      <c r="E2" s="66" t="s">
        <v>72</v>
      </c>
      <c r="F2" s="66" t="s">
        <v>74</v>
      </c>
      <c r="G2" s="66" t="s">
        <v>72</v>
      </c>
      <c r="H2" s="6" t="s">
        <v>77</v>
      </c>
      <c r="I2" s="6" t="s">
        <v>78</v>
      </c>
      <c r="J2" s="52" t="s">
        <v>77</v>
      </c>
      <c r="K2" s="52" t="s">
        <v>78</v>
      </c>
      <c r="L2" s="67" t="s">
        <v>45</v>
      </c>
      <c r="M2" s="68">
        <f>SUM(F3)</f>
        <v>0</v>
      </c>
      <c r="N2" s="68">
        <f>SUM(G3)</f>
        <v>0</v>
      </c>
    </row>
    <row r="3" spans="1:14" ht="10.050000000000001" customHeight="1" x14ac:dyDescent="0.3">
      <c r="A3" s="62">
        <v>1</v>
      </c>
      <c r="B3" s="12" t="s">
        <v>1</v>
      </c>
      <c r="C3" s="12" t="s">
        <v>45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50" t="e">
        <f>D3/H3</f>
        <v>#DIV/0!</v>
      </c>
      <c r="K3" s="51" t="e">
        <f>M2/I3</f>
        <v>#DIV/0!</v>
      </c>
      <c r="L3" s="23" t="s">
        <v>46</v>
      </c>
      <c r="M3" s="53">
        <f>SUM(F4,F22)</f>
        <v>0</v>
      </c>
      <c r="N3" s="53">
        <f>SUM(G4,G22)</f>
        <v>0</v>
      </c>
    </row>
    <row r="4" spans="1:14" ht="10.050000000000001" customHeight="1" x14ac:dyDescent="0.3">
      <c r="A4" s="62">
        <v>2</v>
      </c>
      <c r="B4" s="15" t="s">
        <v>2</v>
      </c>
      <c r="C4" s="12" t="s">
        <v>46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50" t="e">
        <f>SUM(D4,D22)/H4</f>
        <v>#DIV/0!</v>
      </c>
      <c r="K4" s="51" t="e">
        <f>M3/I4</f>
        <v>#DIV/0!</v>
      </c>
      <c r="L4" s="23" t="s">
        <v>47</v>
      </c>
      <c r="M4" s="53">
        <f>SUM(F5,F7,F11,F12)</f>
        <v>0</v>
      </c>
      <c r="N4" s="53">
        <f>SUM(G5,G7,G11,G12)</f>
        <v>0</v>
      </c>
    </row>
    <row r="5" spans="1:14" ht="10.050000000000001" customHeight="1" x14ac:dyDescent="0.3">
      <c r="A5" s="62">
        <v>3</v>
      </c>
      <c r="B5" s="12" t="s">
        <v>3</v>
      </c>
      <c r="C5" s="12" t="s">
        <v>47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50" t="e">
        <f>SUM(D5,D11,D12,D7)/H5</f>
        <v>#DIV/0!</v>
      </c>
      <c r="K5" s="51" t="e">
        <f>M4/I5</f>
        <v>#DIV/0!</v>
      </c>
      <c r="L5" s="23" t="s">
        <v>48</v>
      </c>
      <c r="M5" s="53">
        <f>SUM(F43,F6)</f>
        <v>0</v>
      </c>
      <c r="N5" s="53">
        <f>SUM(G6,G43)</f>
        <v>0</v>
      </c>
    </row>
    <row r="6" spans="1:14" ht="10.050000000000001" customHeight="1" x14ac:dyDescent="0.3">
      <c r="A6" s="62">
        <v>4</v>
      </c>
      <c r="B6" s="12" t="s">
        <v>4</v>
      </c>
      <c r="C6" s="12" t="s">
        <v>48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51" t="e">
        <f>SUM(D6,D43)/H6</f>
        <v>#DIV/0!</v>
      </c>
      <c r="K6" s="51" t="e">
        <f>M5/I6</f>
        <v>#DIV/0!</v>
      </c>
      <c r="L6" s="24" t="s">
        <v>49</v>
      </c>
      <c r="M6" s="53">
        <f>SUM(F8,F17)</f>
        <v>0</v>
      </c>
      <c r="N6" s="53">
        <f>SUM(G8,G17)</f>
        <v>0</v>
      </c>
    </row>
    <row r="7" spans="1:14" ht="10.050000000000001" customHeight="1" x14ac:dyDescent="0.3">
      <c r="A7" s="62">
        <v>5</v>
      </c>
      <c r="B7" s="12" t="s">
        <v>5</v>
      </c>
      <c r="C7" s="12" t="s">
        <v>47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51"/>
      <c r="K7" s="51"/>
      <c r="L7" s="23" t="s">
        <v>50</v>
      </c>
      <c r="M7" s="53">
        <f>SUM(F9)</f>
        <v>0</v>
      </c>
      <c r="N7" s="53">
        <f>SUM(G9)</f>
        <v>0</v>
      </c>
    </row>
    <row r="8" spans="1:14" ht="10.050000000000001" customHeight="1" x14ac:dyDescent="0.3">
      <c r="A8" s="62">
        <v>6</v>
      </c>
      <c r="B8" s="16" t="s">
        <v>6</v>
      </c>
      <c r="C8" s="16" t="s">
        <v>49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51" t="e">
        <f>SUM(D8,D17,D31)/H8</f>
        <v>#DIV/0!</v>
      </c>
      <c r="K8" s="51" t="e">
        <f>M6/I8</f>
        <v>#DIV/0!</v>
      </c>
      <c r="L8" s="23" t="s">
        <v>51</v>
      </c>
      <c r="M8" s="53">
        <f>SUM(F10,F18,F45,F46)</f>
        <v>0</v>
      </c>
      <c r="N8" s="53">
        <f>SUM(G10,G18,G45,G46)</f>
        <v>0</v>
      </c>
    </row>
    <row r="9" spans="1:14" ht="10.050000000000001" customHeight="1" x14ac:dyDescent="0.3">
      <c r="A9" s="62">
        <v>7</v>
      </c>
      <c r="B9" s="12" t="s">
        <v>7</v>
      </c>
      <c r="C9" s="12" t="s">
        <v>50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51" t="e">
        <f>D9/H9</f>
        <v>#DIV/0!</v>
      </c>
      <c r="K9" s="51" t="e">
        <f>M7/I9</f>
        <v>#DIV/0!</v>
      </c>
      <c r="L9" s="23" t="s">
        <v>52</v>
      </c>
      <c r="M9" s="53">
        <f>SUM(F13,F14,F15)</f>
        <v>0</v>
      </c>
      <c r="N9" s="53">
        <f>SUM(G13,G14,G15)</f>
        <v>0</v>
      </c>
    </row>
    <row r="10" spans="1:14" ht="10.050000000000001" customHeight="1" x14ac:dyDescent="0.3">
      <c r="A10" s="62">
        <v>8</v>
      </c>
      <c r="B10" s="12" t="s">
        <v>8</v>
      </c>
      <c r="C10" s="12" t="s">
        <v>51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51" t="e">
        <f>SUM(D10,D18,D25,D45,D46)/H10</f>
        <v>#DIV/0!</v>
      </c>
      <c r="K10" s="51" t="e">
        <f>M8/I10</f>
        <v>#DIV/0!</v>
      </c>
      <c r="L10" s="23" t="s">
        <v>53</v>
      </c>
      <c r="M10" s="53">
        <f>SUM(F16)</f>
        <v>0</v>
      </c>
      <c r="N10" s="53">
        <f>SUM(G16)</f>
        <v>0</v>
      </c>
    </row>
    <row r="11" spans="1:14" ht="10.050000000000001" customHeight="1" x14ac:dyDescent="0.3">
      <c r="A11" s="62">
        <v>9</v>
      </c>
      <c r="B11" s="12" t="s">
        <v>9</v>
      </c>
      <c r="C11" s="12" t="s">
        <v>47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51"/>
      <c r="K11" s="51"/>
      <c r="L11" s="25" t="s">
        <v>54</v>
      </c>
      <c r="M11" s="53">
        <f>SUM(F21,F19)</f>
        <v>0</v>
      </c>
      <c r="N11" s="53">
        <f>SUM(G21,G19)</f>
        <v>0</v>
      </c>
    </row>
    <row r="12" spans="1:14" ht="10.050000000000001" customHeight="1" x14ac:dyDescent="0.3">
      <c r="A12" s="62">
        <v>10</v>
      </c>
      <c r="B12" s="12" t="s">
        <v>10</v>
      </c>
      <c r="C12" s="12" t="s">
        <v>47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51"/>
      <c r="K12" s="51"/>
      <c r="L12" s="23" t="s">
        <v>55</v>
      </c>
      <c r="M12" s="53">
        <f>SUM(F20,F29)</f>
        <v>0</v>
      </c>
      <c r="N12" s="53">
        <f>SUM(G20,G29)</f>
        <v>0</v>
      </c>
    </row>
    <row r="13" spans="1:14" ht="10.050000000000001" customHeight="1" x14ac:dyDescent="0.3">
      <c r="A13" s="62">
        <v>11</v>
      </c>
      <c r="B13" s="12" t="s">
        <v>11</v>
      </c>
      <c r="C13" s="12" t="s">
        <v>52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51" t="e">
        <f>SUM(D13,D14,D15)/H13</f>
        <v>#DIV/0!</v>
      </c>
      <c r="K13" s="51" t="e">
        <f>M9/I13</f>
        <v>#DIV/0!</v>
      </c>
      <c r="L13" s="23" t="s">
        <v>56</v>
      </c>
      <c r="M13" s="53">
        <f>SUM(F23)</f>
        <v>0</v>
      </c>
      <c r="N13" s="53">
        <f>SUM(G23)</f>
        <v>0</v>
      </c>
    </row>
    <row r="14" spans="1:14" ht="10.050000000000001" customHeight="1" x14ac:dyDescent="0.3">
      <c r="A14" s="62">
        <v>12</v>
      </c>
      <c r="B14" s="12" t="s">
        <v>12</v>
      </c>
      <c r="C14" s="12" t="s">
        <v>52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51"/>
      <c r="K14" s="51"/>
      <c r="L14" s="23" t="s">
        <v>57</v>
      </c>
      <c r="M14" s="53">
        <f>SUM(F24)</f>
        <v>0</v>
      </c>
      <c r="N14" s="53">
        <f>SUM(G24)</f>
        <v>0</v>
      </c>
    </row>
    <row r="15" spans="1:14" ht="10.050000000000001" customHeight="1" x14ac:dyDescent="0.3">
      <c r="A15" s="62">
        <v>13</v>
      </c>
      <c r="B15" s="12" t="s">
        <v>13</v>
      </c>
      <c r="C15" s="12" t="s">
        <v>52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51"/>
      <c r="K15" s="51"/>
      <c r="L15" s="23" t="s">
        <v>58</v>
      </c>
      <c r="M15" s="53">
        <f>SUM(F26)</f>
        <v>0</v>
      </c>
      <c r="N15" s="53">
        <f>SUM(G26)</f>
        <v>0</v>
      </c>
    </row>
    <row r="16" spans="1:14" ht="10.050000000000001" customHeight="1" x14ac:dyDescent="0.3">
      <c r="A16" s="62">
        <v>14</v>
      </c>
      <c r="B16" s="12" t="s">
        <v>14</v>
      </c>
      <c r="C16" s="12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51" t="e">
        <f>SUM(D16)/H16</f>
        <v>#DIV/0!</v>
      </c>
      <c r="K16" s="51" t="e">
        <f>M10/I16</f>
        <v>#DIV/0!</v>
      </c>
      <c r="L16" s="23" t="s">
        <v>59</v>
      </c>
      <c r="M16" s="53">
        <f>SUM(F28,F27)</f>
        <v>0</v>
      </c>
      <c r="N16" s="53">
        <f>SUM(G27,G28)</f>
        <v>0</v>
      </c>
    </row>
    <row r="17" spans="1:14" ht="10.050000000000001" customHeight="1" x14ac:dyDescent="0.3">
      <c r="A17" s="62">
        <v>15</v>
      </c>
      <c r="B17" s="17" t="s">
        <v>15</v>
      </c>
      <c r="C17" s="17" t="s">
        <v>49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51"/>
      <c r="K17" s="51"/>
      <c r="L17" s="23" t="s">
        <v>60</v>
      </c>
      <c r="M17" s="53">
        <f>SUM(F30)</f>
        <v>0</v>
      </c>
      <c r="N17" s="53">
        <f>SUM(G30)</f>
        <v>0</v>
      </c>
    </row>
    <row r="18" spans="1:14" ht="10.050000000000001" customHeight="1" x14ac:dyDescent="0.3">
      <c r="A18" s="62">
        <v>16</v>
      </c>
      <c r="B18" s="12" t="s">
        <v>16</v>
      </c>
      <c r="C18" s="12" t="s">
        <v>51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51"/>
      <c r="K18" s="51"/>
      <c r="L18" s="23" t="s">
        <v>61</v>
      </c>
      <c r="M18" s="53">
        <f>SUM(F32)</f>
        <v>0</v>
      </c>
      <c r="N18" s="53">
        <f>SUM(G32)</f>
        <v>0</v>
      </c>
    </row>
    <row r="19" spans="1:14" ht="10.050000000000001" customHeight="1" x14ac:dyDescent="0.3">
      <c r="A19" s="62">
        <v>17</v>
      </c>
      <c r="B19" s="12" t="s">
        <v>17</v>
      </c>
      <c r="C19" s="15" t="s">
        <v>54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51" t="e">
        <f>SUM(D19,D21)/H19</f>
        <v>#DIV/0!</v>
      </c>
      <c r="K19" s="51" t="e">
        <f>M11/I19</f>
        <v>#DIV/0!</v>
      </c>
      <c r="L19" s="23" t="s">
        <v>62</v>
      </c>
      <c r="M19" s="53">
        <f>SUM(F34,F33)</f>
        <v>0</v>
      </c>
      <c r="N19" s="53">
        <f>SUM(G34,G33)</f>
        <v>0</v>
      </c>
    </row>
    <row r="20" spans="1:14" ht="10.050000000000001" customHeight="1" x14ac:dyDescent="0.3">
      <c r="A20" s="62">
        <v>18</v>
      </c>
      <c r="B20" s="12" t="s">
        <v>18</v>
      </c>
      <c r="C20" s="12" t="s">
        <v>55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51" t="e">
        <f>SUM(D20,D29)/H20</f>
        <v>#DIV/0!</v>
      </c>
      <c r="K20" s="51" t="e">
        <f>M12/I20</f>
        <v>#DIV/0!</v>
      </c>
      <c r="L20" s="23" t="s">
        <v>63</v>
      </c>
      <c r="M20" s="53">
        <f>SUM(F35)</f>
        <v>0</v>
      </c>
      <c r="N20" s="53">
        <f>SUM(G35)</f>
        <v>0</v>
      </c>
    </row>
    <row r="21" spans="1:14" ht="10.050000000000001" customHeight="1" x14ac:dyDescent="0.3">
      <c r="A21" s="62">
        <v>19</v>
      </c>
      <c r="B21" s="12" t="s">
        <v>19</v>
      </c>
      <c r="C21" s="12" t="s">
        <v>54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51"/>
      <c r="K21" s="51"/>
      <c r="L21" s="23" t="s">
        <v>64</v>
      </c>
      <c r="M21" s="53">
        <f>SUM(F37,F36)</f>
        <v>0</v>
      </c>
      <c r="N21" s="53">
        <f>SUM(G37,G36)</f>
        <v>0</v>
      </c>
    </row>
    <row r="22" spans="1:14" ht="10.050000000000001" customHeight="1" x14ac:dyDescent="0.3">
      <c r="A22" s="62">
        <v>20</v>
      </c>
      <c r="B22" s="12" t="s">
        <v>20</v>
      </c>
      <c r="C22" s="12" t="s">
        <v>46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51"/>
      <c r="K22" s="51"/>
      <c r="L22" s="23" t="s">
        <v>65</v>
      </c>
      <c r="M22" s="53">
        <f>SUM(F38)</f>
        <v>0</v>
      </c>
      <c r="N22" s="53">
        <f>SUM(G38)</f>
        <v>0</v>
      </c>
    </row>
    <row r="23" spans="1:14" ht="10.050000000000001" customHeight="1" x14ac:dyDescent="0.3">
      <c r="A23" s="62">
        <v>21</v>
      </c>
      <c r="B23" s="12" t="s">
        <v>21</v>
      </c>
      <c r="C23" s="12" t="s">
        <v>56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51" t="e">
        <f>SUM(D23)/H23</f>
        <v>#DIV/0!</v>
      </c>
      <c r="K23" s="51" t="e">
        <f>M13/I23</f>
        <v>#DIV/0!</v>
      </c>
      <c r="L23" s="23" t="s">
        <v>66</v>
      </c>
      <c r="M23" s="53">
        <f>SUM(F40,F39)</f>
        <v>0</v>
      </c>
      <c r="N23" s="53">
        <f>SUM(G39,G40)</f>
        <v>0</v>
      </c>
    </row>
    <row r="24" spans="1:14" ht="10.050000000000001" customHeight="1" x14ac:dyDescent="0.3">
      <c r="A24" s="62">
        <v>22</v>
      </c>
      <c r="B24" s="12" t="s">
        <v>22</v>
      </c>
      <c r="C24" s="12" t="s">
        <v>57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51" t="e">
        <f>SUM(D24)/H24</f>
        <v>#DIV/0!</v>
      </c>
      <c r="K24" s="51" t="e">
        <f>M14/I24</f>
        <v>#DIV/0!</v>
      </c>
      <c r="L24" s="23" t="s">
        <v>67</v>
      </c>
      <c r="M24" s="53">
        <f>SUM(F41)</f>
        <v>0</v>
      </c>
      <c r="N24" s="53">
        <f>SUM(G41)</f>
        <v>0</v>
      </c>
    </row>
    <row r="25" spans="1:14" ht="10.050000000000001" customHeight="1" x14ac:dyDescent="0.3">
      <c r="A25" s="62">
        <v>23</v>
      </c>
      <c r="B25" s="12" t="s">
        <v>23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51"/>
      <c r="K25" s="51"/>
      <c r="L25" s="26" t="s">
        <v>68</v>
      </c>
      <c r="M25" s="53">
        <f>SUM(F42)</f>
        <v>0</v>
      </c>
      <c r="N25" s="53">
        <f>SUM(G42)</f>
        <v>0</v>
      </c>
    </row>
    <row r="26" spans="1:14" ht="10.050000000000001" customHeight="1" x14ac:dyDescent="0.3">
      <c r="A26" s="62">
        <v>24</v>
      </c>
      <c r="B26" s="12" t="s">
        <v>24</v>
      </c>
      <c r="C26" s="12" t="s">
        <v>58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51" t="e">
        <f>SUM(D26)/H26</f>
        <v>#DIV/0!</v>
      </c>
      <c r="K26" s="51" t="e">
        <f>M15/I26</f>
        <v>#DIV/0!</v>
      </c>
      <c r="L26" s="27" t="s">
        <v>69</v>
      </c>
      <c r="M26" s="53">
        <f>SUM(F44)</f>
        <v>0</v>
      </c>
      <c r="N26" s="53">
        <f>SUM(G44)</f>
        <v>0</v>
      </c>
    </row>
    <row r="27" spans="1:14" ht="10.050000000000001" customHeight="1" x14ac:dyDescent="0.3">
      <c r="A27" s="62">
        <v>25</v>
      </c>
      <c r="B27" s="12" t="s">
        <v>25</v>
      </c>
      <c r="C27" s="12" t="s">
        <v>59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51" t="e">
        <f>SUM(D27:D28)/H27</f>
        <v>#DIV/0!</v>
      </c>
      <c r="K27" s="51" t="e">
        <f>M16/I27</f>
        <v>#DIV/0!</v>
      </c>
      <c r="L27" s="9" t="s">
        <v>76</v>
      </c>
      <c r="M27" s="9">
        <f>SUM(M2:M26)</f>
        <v>0</v>
      </c>
      <c r="N27" s="9">
        <f>SUM(N2:N26)</f>
        <v>0</v>
      </c>
    </row>
    <row r="28" spans="1:14" ht="10.050000000000001" customHeight="1" x14ac:dyDescent="0.3">
      <c r="A28" s="62">
        <v>26</v>
      </c>
      <c r="B28" s="12" t="s">
        <v>26</v>
      </c>
      <c r="C28" s="12" t="s">
        <v>59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51"/>
      <c r="K28" s="51"/>
    </row>
    <row r="29" spans="1:14" ht="10.050000000000001" customHeight="1" x14ac:dyDescent="0.3">
      <c r="A29" s="62">
        <v>27</v>
      </c>
      <c r="B29" s="12" t="s">
        <v>27</v>
      </c>
      <c r="C29" s="12" t="s">
        <v>55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51"/>
      <c r="K29" s="51"/>
      <c r="L29" s="45" t="s">
        <v>93</v>
      </c>
      <c r="M29" s="48" t="e">
        <f>F48/I48</f>
        <v>#DIV/0!</v>
      </c>
    </row>
    <row r="30" spans="1:14" ht="10.050000000000001" customHeight="1" x14ac:dyDescent="0.3">
      <c r="A30" s="62">
        <v>28</v>
      </c>
      <c r="B30" s="12" t="s">
        <v>28</v>
      </c>
      <c r="C30" s="12" t="s">
        <v>60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51" t="e">
        <f>SUM(D30)/H30</f>
        <v>#DIV/0!</v>
      </c>
      <c r="K30" s="51" t="e">
        <f>M17/I31</f>
        <v>#DIV/0!</v>
      </c>
      <c r="L30" s="45" t="s">
        <v>94</v>
      </c>
      <c r="M30" s="48" t="e">
        <f>D48/H48</f>
        <v>#DIV/0!</v>
      </c>
    </row>
    <row r="31" spans="1:14" ht="10.050000000000001" customHeight="1" x14ac:dyDescent="0.3">
      <c r="A31" s="62">
        <v>29</v>
      </c>
      <c r="B31" s="17" t="s">
        <v>29</v>
      </c>
      <c r="C31" s="17" t="s">
        <v>49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51"/>
      <c r="K31" s="51"/>
    </row>
    <row r="32" spans="1:14" ht="10.050000000000001" customHeight="1" x14ac:dyDescent="0.3">
      <c r="A32" s="62">
        <v>30</v>
      </c>
      <c r="B32" s="12" t="s">
        <v>30</v>
      </c>
      <c r="C32" s="12" t="s">
        <v>61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51" t="e">
        <f>SUM(D32)/H32</f>
        <v>#DIV/0!</v>
      </c>
      <c r="K32" s="51" t="e">
        <f>M18/I32</f>
        <v>#DIV/0!</v>
      </c>
    </row>
    <row r="33" spans="1:11" ht="10.050000000000001" customHeight="1" x14ac:dyDescent="0.3">
      <c r="A33" s="62">
        <v>31</v>
      </c>
      <c r="B33" s="12" t="s">
        <v>31</v>
      </c>
      <c r="C33" s="12" t="s">
        <v>62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51" t="e">
        <f>SUM(D33:D34)/H33</f>
        <v>#DIV/0!</v>
      </c>
      <c r="K33" s="51" t="e">
        <f>M19/I33</f>
        <v>#DIV/0!</v>
      </c>
    </row>
    <row r="34" spans="1:11" ht="10.050000000000001" customHeight="1" x14ac:dyDescent="0.3">
      <c r="A34" s="62">
        <v>32</v>
      </c>
      <c r="B34" s="12" t="s">
        <v>32</v>
      </c>
      <c r="C34" s="12" t="s">
        <v>62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51"/>
      <c r="K34" s="51"/>
    </row>
    <row r="35" spans="1:11" ht="10.050000000000001" customHeight="1" x14ac:dyDescent="0.3">
      <c r="A35" s="62">
        <v>33</v>
      </c>
      <c r="B35" s="12" t="s">
        <v>33</v>
      </c>
      <c r="C35" s="12" t="s">
        <v>63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51" t="e">
        <f>SUM(D35)/H35</f>
        <v>#DIV/0!</v>
      </c>
      <c r="K35" s="51" t="e">
        <f>M20/I35</f>
        <v>#DIV/0!</v>
      </c>
    </row>
    <row r="36" spans="1:11" ht="10.050000000000001" customHeight="1" x14ac:dyDescent="0.3">
      <c r="A36" s="62">
        <v>34</v>
      </c>
      <c r="B36" s="12" t="s">
        <v>34</v>
      </c>
      <c r="C36" s="12" t="s">
        <v>64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51" t="e">
        <f>SUM(D36:D37)/H36</f>
        <v>#DIV/0!</v>
      </c>
      <c r="K36" s="51" t="e">
        <f>M21/I36</f>
        <v>#DIV/0!</v>
      </c>
    </row>
    <row r="37" spans="1:11" ht="10.050000000000001" customHeight="1" x14ac:dyDescent="0.3">
      <c r="A37" s="62">
        <v>35</v>
      </c>
      <c r="B37" s="12" t="s">
        <v>35</v>
      </c>
      <c r="C37" s="12" t="s">
        <v>64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51"/>
      <c r="K37" s="51"/>
    </row>
    <row r="38" spans="1:11" ht="10.050000000000001" customHeight="1" x14ac:dyDescent="0.3">
      <c r="A38" s="62">
        <v>36</v>
      </c>
      <c r="B38" s="12" t="s">
        <v>36</v>
      </c>
      <c r="C38" s="12" t="s">
        <v>65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51" t="e">
        <f>SUM(D38)/H38</f>
        <v>#DIV/0!</v>
      </c>
      <c r="K38" s="51" t="e">
        <f>M22/I38</f>
        <v>#DIV/0!</v>
      </c>
    </row>
    <row r="39" spans="1:11" ht="10.050000000000001" customHeight="1" x14ac:dyDescent="0.3">
      <c r="A39" s="62">
        <v>37</v>
      </c>
      <c r="B39" s="12" t="s">
        <v>37</v>
      </c>
      <c r="C39" s="12" t="s">
        <v>66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51" t="e">
        <f>SUM(D39:D40)/H39</f>
        <v>#DIV/0!</v>
      </c>
      <c r="K39" s="51" t="e">
        <f>M23/I39</f>
        <v>#DIV/0!</v>
      </c>
    </row>
    <row r="40" spans="1:11" ht="10.050000000000001" customHeight="1" x14ac:dyDescent="0.3">
      <c r="A40" s="62">
        <v>38</v>
      </c>
      <c r="B40" s="12" t="s">
        <v>38</v>
      </c>
      <c r="C40" s="12" t="s">
        <v>66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51"/>
      <c r="K40" s="51"/>
    </row>
    <row r="41" spans="1:11" ht="10.050000000000001" customHeight="1" x14ac:dyDescent="0.3">
      <c r="A41" s="62">
        <v>39</v>
      </c>
      <c r="B41" s="12" t="s">
        <v>39</v>
      </c>
      <c r="C41" s="12" t="s">
        <v>67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51" t="e">
        <f>SUM(D41)/H41</f>
        <v>#DIV/0!</v>
      </c>
      <c r="K41" s="51" t="e">
        <f>M24/I41</f>
        <v>#DIV/0!</v>
      </c>
    </row>
    <row r="42" spans="1:11" ht="10.050000000000001" customHeight="1" x14ac:dyDescent="0.3">
      <c r="A42" s="62">
        <v>40</v>
      </c>
      <c r="B42" s="12" t="s">
        <v>40</v>
      </c>
      <c r="C42" s="14" t="s">
        <v>68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51" t="e">
        <f>SUM(D42)/H42</f>
        <v>#DIV/0!</v>
      </c>
      <c r="K42" s="51" t="e">
        <f>M25/I42</f>
        <v>#DIV/0!</v>
      </c>
    </row>
    <row r="43" spans="1:11" ht="10.050000000000001" customHeight="1" x14ac:dyDescent="0.3">
      <c r="A43" s="62">
        <v>41</v>
      </c>
      <c r="B43" s="12" t="s">
        <v>41</v>
      </c>
      <c r="C43" s="12" t="s">
        <v>48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51"/>
      <c r="K43" s="51"/>
    </row>
    <row r="44" spans="1:11" ht="10.050000000000001" customHeight="1" x14ac:dyDescent="0.3">
      <c r="A44" s="62">
        <v>42</v>
      </c>
      <c r="B44" s="18" t="s">
        <v>42</v>
      </c>
      <c r="C44" s="19" t="s">
        <v>69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51" t="e">
        <f>SUM(D44)/H44</f>
        <v>#DIV/0!</v>
      </c>
      <c r="K44" s="51" t="e">
        <f>M26/I44</f>
        <v>#DIV/0!</v>
      </c>
    </row>
    <row r="45" spans="1:11" ht="10.050000000000001" customHeight="1" x14ac:dyDescent="0.3">
      <c r="A45" s="62">
        <v>43</v>
      </c>
      <c r="B45" s="12" t="s">
        <v>43</v>
      </c>
      <c r="C45" s="12" t="s">
        <v>70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51"/>
      <c r="K45" s="51"/>
    </row>
    <row r="46" spans="1:11" ht="10.050000000000001" customHeight="1" x14ac:dyDescent="0.3">
      <c r="A46" s="62">
        <v>44</v>
      </c>
      <c r="B46" s="12" t="s">
        <v>44</v>
      </c>
      <c r="C46" s="12" t="s">
        <v>70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51"/>
      <c r="K46" s="51"/>
    </row>
    <row r="47" spans="1:11" ht="10.050000000000001" customHeight="1" x14ac:dyDescent="0.3">
      <c r="B47" s="20"/>
      <c r="C47" s="9" t="s">
        <v>76</v>
      </c>
      <c r="D47" s="21">
        <f t="shared" ref="D47:I47" si="0">SUM(D3:D46)</f>
        <v>0</v>
      </c>
      <c r="E47" s="21">
        <f t="shared" si="0"/>
        <v>0</v>
      </c>
      <c r="F47" s="21">
        <f t="shared" si="0"/>
        <v>0</v>
      </c>
      <c r="G47" s="21">
        <f t="shared" si="0"/>
        <v>0</v>
      </c>
      <c r="H47" s="21">
        <f t="shared" si="0"/>
        <v>0</v>
      </c>
      <c r="I47" s="21">
        <f t="shared" si="0"/>
        <v>0</v>
      </c>
      <c r="J47" s="22" t="e">
        <f>D47/H47</f>
        <v>#DIV/0!</v>
      </c>
      <c r="K47" s="22" t="e">
        <f>M27/I47</f>
        <v>#DIV/0!</v>
      </c>
    </row>
    <row r="48" spans="1:11" x14ac:dyDescent="0.3">
      <c r="D48" s="46">
        <f>D47</f>
        <v>0</v>
      </c>
      <c r="E48" s="47"/>
      <c r="F48" s="46">
        <f>F47</f>
        <v>0</v>
      </c>
      <c r="G48" s="47"/>
      <c r="H48" s="46">
        <f>H47</f>
        <v>0</v>
      </c>
      <c r="I48" s="46">
        <f>I47</f>
        <v>0</v>
      </c>
    </row>
  </sheetData>
  <sheetProtection algorithmName="SHA-512" hashValue="UVrV71iMt2d9s1+8T9dcWPxXkQwwrenEMu0aor9DACmqd0KLVE7jR105YA5ZpXeGxjl9mIy+voGgHcVSqapFtw==" saltValue="faekZ4bMcYRpndiBCbsUgA==" spinCount="100000" sheet="1" objects="1" scenarios="1" selectLockedCells="1" sort="0" autoFilter="0" pivotTables="0"/>
  <autoFilter ref="A1:N48">
    <filterColumn colId="3" showButton="0"/>
    <filterColumn colId="5" showButton="0"/>
  </autoFilter>
  <mergeCells count="2">
    <mergeCell ref="D1:E1"/>
    <mergeCell ref="F1:G1"/>
  </mergeCells>
  <pageMargins left="0.7" right="0.7" top="0.75" bottom="0.75" header="0.3" footer="0.3"/>
  <pageSetup orientation="portrait" horizontalDpi="300" verticalDpi="300" r:id="rId1"/>
  <ignoredErrors>
    <ignoredError sqref="J27 J33 J36 J3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48"/>
  <sheetViews>
    <sheetView workbookViewId="0">
      <selection activeCell="D14" sqref="D14"/>
    </sheetView>
  </sheetViews>
  <sheetFormatPr defaultRowHeight="14.4" x14ac:dyDescent="0.3"/>
  <cols>
    <col min="1" max="1" width="3.77734375" customWidth="1"/>
    <col min="2" max="2" width="18.77734375" customWidth="1"/>
    <col min="3" max="3" width="16.6640625" customWidth="1"/>
    <col min="4" max="4" width="5.77734375" customWidth="1"/>
    <col min="5" max="5" width="7.5546875" customWidth="1"/>
    <col min="6" max="6" width="7.6640625" customWidth="1"/>
    <col min="7" max="7" width="7.109375" customWidth="1"/>
    <col min="8" max="8" width="10.5546875" customWidth="1"/>
    <col min="10" max="11" width="6.77734375" customWidth="1"/>
    <col min="12" max="12" width="38.33203125" bestFit="1" customWidth="1"/>
    <col min="13" max="14" width="6.77734375" customWidth="1"/>
  </cols>
  <sheetData>
    <row r="1" spans="1:14" ht="23.4" x14ac:dyDescent="0.45">
      <c r="A1" s="7" t="s">
        <v>0</v>
      </c>
      <c r="B1" s="8" t="s">
        <v>81</v>
      </c>
      <c r="C1" s="8" t="s">
        <v>82</v>
      </c>
      <c r="D1" s="59" t="s">
        <v>73</v>
      </c>
      <c r="E1" s="60"/>
      <c r="F1" s="59" t="s">
        <v>71</v>
      </c>
      <c r="G1" s="60"/>
      <c r="H1" s="5" t="s">
        <v>79</v>
      </c>
      <c r="I1" s="5"/>
      <c r="J1" s="11" t="s">
        <v>80</v>
      </c>
      <c r="K1" s="10"/>
      <c r="L1" s="4" t="s">
        <v>75</v>
      </c>
      <c r="M1" s="4" t="s">
        <v>74</v>
      </c>
      <c r="N1" s="4" t="s">
        <v>72</v>
      </c>
    </row>
    <row r="2" spans="1:14" ht="10.050000000000001" customHeight="1" x14ac:dyDescent="0.3">
      <c r="A2" s="61"/>
      <c r="B2" s="1"/>
      <c r="C2" s="2"/>
      <c r="D2" s="1" t="s">
        <v>74</v>
      </c>
      <c r="E2" s="3" t="s">
        <v>72</v>
      </c>
      <c r="F2" s="3" t="s">
        <v>74</v>
      </c>
      <c r="G2" s="3" t="s">
        <v>72</v>
      </c>
      <c r="H2" s="6" t="s">
        <v>77</v>
      </c>
      <c r="I2" s="6" t="s">
        <v>78</v>
      </c>
      <c r="J2" s="52" t="s">
        <v>77</v>
      </c>
      <c r="K2" s="52" t="s">
        <v>78</v>
      </c>
      <c r="L2" s="12" t="s">
        <v>45</v>
      </c>
      <c r="M2" s="53">
        <f>SUM(F3)</f>
        <v>0</v>
      </c>
      <c r="N2" s="53">
        <f>SUM(G3)</f>
        <v>0</v>
      </c>
    </row>
    <row r="3" spans="1:14" ht="10.050000000000001" customHeight="1" x14ac:dyDescent="0.3">
      <c r="A3" s="62">
        <v>1</v>
      </c>
      <c r="B3" s="12" t="s">
        <v>1</v>
      </c>
      <c r="C3" s="12" t="s">
        <v>45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50" t="e">
        <f>D3/H3</f>
        <v>#DIV/0!</v>
      </c>
      <c r="K3" s="51" t="e">
        <f>M2/I3</f>
        <v>#DIV/0!</v>
      </c>
      <c r="L3" s="23" t="s">
        <v>46</v>
      </c>
      <c r="M3" s="53">
        <f>SUM(F4,F22)</f>
        <v>0</v>
      </c>
      <c r="N3" s="53">
        <f>SUM(G4,G22)</f>
        <v>0</v>
      </c>
    </row>
    <row r="4" spans="1:14" ht="10.050000000000001" customHeight="1" x14ac:dyDescent="0.3">
      <c r="A4" s="62">
        <v>2</v>
      </c>
      <c r="B4" s="15" t="s">
        <v>2</v>
      </c>
      <c r="C4" s="12" t="s">
        <v>46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50" t="e">
        <f>SUM(D4,D22)/H4</f>
        <v>#DIV/0!</v>
      </c>
      <c r="K4" s="51" t="e">
        <f>M3/I4</f>
        <v>#DIV/0!</v>
      </c>
      <c r="L4" s="23" t="s">
        <v>47</v>
      </c>
      <c r="M4" s="53">
        <f>SUM(F5,F7,F11,F12)</f>
        <v>0</v>
      </c>
      <c r="N4" s="53">
        <f>SUM(G5,G7,G11,G12)</f>
        <v>0</v>
      </c>
    </row>
    <row r="5" spans="1:14" ht="10.050000000000001" customHeight="1" x14ac:dyDescent="0.3">
      <c r="A5" s="62">
        <v>3</v>
      </c>
      <c r="B5" s="12" t="s">
        <v>3</v>
      </c>
      <c r="C5" s="12" t="s">
        <v>47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50" t="e">
        <f>SUM(D5,D11,D12,D7)/H5</f>
        <v>#DIV/0!</v>
      </c>
      <c r="K5" s="51" t="e">
        <f>M4/I5</f>
        <v>#DIV/0!</v>
      </c>
      <c r="L5" s="23" t="s">
        <v>48</v>
      </c>
      <c r="M5" s="53">
        <f>SUM(F43,F6)</f>
        <v>0</v>
      </c>
      <c r="N5" s="53">
        <f>SUM(G6,G43)</f>
        <v>0</v>
      </c>
    </row>
    <row r="6" spans="1:14" ht="10.050000000000001" customHeight="1" x14ac:dyDescent="0.3">
      <c r="A6" s="62">
        <v>4</v>
      </c>
      <c r="B6" s="12" t="s">
        <v>4</v>
      </c>
      <c r="C6" s="12" t="s">
        <v>48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51" t="e">
        <f>SUM(D6,D43)/H6</f>
        <v>#DIV/0!</v>
      </c>
      <c r="K6" s="51" t="e">
        <f>M5/I6</f>
        <v>#DIV/0!</v>
      </c>
      <c r="L6" s="24" t="s">
        <v>49</v>
      </c>
      <c r="M6" s="53">
        <f>SUM(F8,F17)</f>
        <v>0</v>
      </c>
      <c r="N6" s="53">
        <f>SUM(G8,G17)</f>
        <v>0</v>
      </c>
    </row>
    <row r="7" spans="1:14" ht="10.050000000000001" customHeight="1" x14ac:dyDescent="0.3">
      <c r="A7" s="62">
        <v>5</v>
      </c>
      <c r="B7" s="12" t="s">
        <v>5</v>
      </c>
      <c r="C7" s="12" t="s">
        <v>47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51"/>
      <c r="K7" s="51"/>
      <c r="L7" s="23" t="s">
        <v>50</v>
      </c>
      <c r="M7" s="53">
        <f>SUM(F9)</f>
        <v>0</v>
      </c>
      <c r="N7" s="53">
        <f>SUM(G9)</f>
        <v>0</v>
      </c>
    </row>
    <row r="8" spans="1:14" ht="10.050000000000001" customHeight="1" x14ac:dyDescent="0.3">
      <c r="A8" s="62">
        <v>6</v>
      </c>
      <c r="B8" s="16" t="s">
        <v>6</v>
      </c>
      <c r="C8" s="16" t="s">
        <v>49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51" t="e">
        <f>SUM(D8,D17,D31)/H8</f>
        <v>#DIV/0!</v>
      </c>
      <c r="K8" s="51" t="e">
        <f>M6/I8</f>
        <v>#DIV/0!</v>
      </c>
      <c r="L8" s="23" t="s">
        <v>51</v>
      </c>
      <c r="M8" s="53">
        <f>SUM(F10,F18,F45,F46)</f>
        <v>0</v>
      </c>
      <c r="N8" s="53">
        <f>SUM(G10,G18,G45,G46)</f>
        <v>0</v>
      </c>
    </row>
    <row r="9" spans="1:14" ht="10.050000000000001" customHeight="1" x14ac:dyDescent="0.3">
      <c r="A9" s="62">
        <v>7</v>
      </c>
      <c r="B9" s="12" t="s">
        <v>7</v>
      </c>
      <c r="C9" s="12" t="s">
        <v>50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51" t="e">
        <f>D9/H9</f>
        <v>#DIV/0!</v>
      </c>
      <c r="K9" s="51" t="e">
        <f>M7/I9</f>
        <v>#DIV/0!</v>
      </c>
      <c r="L9" s="23" t="s">
        <v>52</v>
      </c>
      <c r="M9" s="53">
        <f>SUM(F13,F14,F15)</f>
        <v>0</v>
      </c>
      <c r="N9" s="53">
        <f>SUM(G13,G14,G15)</f>
        <v>0</v>
      </c>
    </row>
    <row r="10" spans="1:14" ht="10.050000000000001" customHeight="1" x14ac:dyDescent="0.3">
      <c r="A10" s="62">
        <v>8</v>
      </c>
      <c r="B10" s="12" t="s">
        <v>8</v>
      </c>
      <c r="C10" s="12" t="s">
        <v>51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51" t="e">
        <f>SUM(D10,D18,D25,D45,D46)/H10</f>
        <v>#DIV/0!</v>
      </c>
      <c r="K10" s="51" t="e">
        <f>M8/I10</f>
        <v>#DIV/0!</v>
      </c>
      <c r="L10" s="23" t="s">
        <v>53</v>
      </c>
      <c r="M10" s="53">
        <f>SUM(F16)</f>
        <v>0</v>
      </c>
      <c r="N10" s="53">
        <f>SUM(G16)</f>
        <v>0</v>
      </c>
    </row>
    <row r="11" spans="1:14" ht="10.050000000000001" customHeight="1" x14ac:dyDescent="0.3">
      <c r="A11" s="62">
        <v>9</v>
      </c>
      <c r="B11" s="12" t="s">
        <v>9</v>
      </c>
      <c r="C11" s="12" t="s">
        <v>47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51"/>
      <c r="K11" s="51"/>
      <c r="L11" s="25" t="s">
        <v>54</v>
      </c>
      <c r="M11" s="53">
        <f>SUM(F21,F19)</f>
        <v>0</v>
      </c>
      <c r="N11" s="53">
        <f>SUM(G21,G19)</f>
        <v>0</v>
      </c>
    </row>
    <row r="12" spans="1:14" ht="10.050000000000001" customHeight="1" x14ac:dyDescent="0.3">
      <c r="A12" s="62">
        <v>10</v>
      </c>
      <c r="B12" s="12" t="s">
        <v>10</v>
      </c>
      <c r="C12" s="12" t="s">
        <v>47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51"/>
      <c r="K12" s="51"/>
      <c r="L12" s="23" t="s">
        <v>55</v>
      </c>
      <c r="M12" s="53">
        <f>SUM(F20,F29)</f>
        <v>0</v>
      </c>
      <c r="N12" s="53">
        <f>SUM(G20,G29)</f>
        <v>0</v>
      </c>
    </row>
    <row r="13" spans="1:14" ht="10.050000000000001" customHeight="1" x14ac:dyDescent="0.3">
      <c r="A13" s="62">
        <v>11</v>
      </c>
      <c r="B13" s="12" t="s">
        <v>11</v>
      </c>
      <c r="C13" s="12" t="s">
        <v>52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51" t="e">
        <f>SUM(D13,D14,D15)/H13</f>
        <v>#DIV/0!</v>
      </c>
      <c r="K13" s="51" t="e">
        <f>M9/I13</f>
        <v>#DIV/0!</v>
      </c>
      <c r="L13" s="23" t="s">
        <v>56</v>
      </c>
      <c r="M13" s="53">
        <f>SUM(F23)</f>
        <v>0</v>
      </c>
      <c r="N13" s="53">
        <f>SUM(G23)</f>
        <v>0</v>
      </c>
    </row>
    <row r="14" spans="1:14" ht="10.050000000000001" customHeight="1" x14ac:dyDescent="0.3">
      <c r="A14" s="62">
        <v>12</v>
      </c>
      <c r="B14" s="12" t="s">
        <v>12</v>
      </c>
      <c r="C14" s="12" t="s">
        <v>52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51"/>
      <c r="K14" s="51"/>
      <c r="L14" s="23" t="s">
        <v>57</v>
      </c>
      <c r="M14" s="53">
        <f>SUM(F24)</f>
        <v>0</v>
      </c>
      <c r="N14" s="53">
        <f>SUM(G24)</f>
        <v>0</v>
      </c>
    </row>
    <row r="15" spans="1:14" ht="10.050000000000001" customHeight="1" x14ac:dyDescent="0.3">
      <c r="A15" s="62">
        <v>13</v>
      </c>
      <c r="B15" s="12" t="s">
        <v>13</v>
      </c>
      <c r="C15" s="12" t="s">
        <v>52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51"/>
      <c r="K15" s="51"/>
      <c r="L15" s="23" t="s">
        <v>58</v>
      </c>
      <c r="M15" s="53">
        <f>SUM(F26)</f>
        <v>0</v>
      </c>
      <c r="N15" s="53">
        <f>SUM(G26)</f>
        <v>0</v>
      </c>
    </row>
    <row r="16" spans="1:14" ht="10.050000000000001" customHeight="1" x14ac:dyDescent="0.3">
      <c r="A16" s="62">
        <v>14</v>
      </c>
      <c r="B16" s="12" t="s">
        <v>14</v>
      </c>
      <c r="C16" s="12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51" t="e">
        <f>SUM(D16)/H16</f>
        <v>#DIV/0!</v>
      </c>
      <c r="K16" s="51" t="e">
        <f>M10/I16</f>
        <v>#DIV/0!</v>
      </c>
      <c r="L16" s="23" t="s">
        <v>59</v>
      </c>
      <c r="M16" s="53">
        <f>SUM(F28,F27)</f>
        <v>0</v>
      </c>
      <c r="N16" s="53">
        <f>SUM(G27,G28)</f>
        <v>0</v>
      </c>
    </row>
    <row r="17" spans="1:14" ht="10.050000000000001" customHeight="1" x14ac:dyDescent="0.3">
      <c r="A17" s="62">
        <v>15</v>
      </c>
      <c r="B17" s="17" t="s">
        <v>15</v>
      </c>
      <c r="C17" s="17" t="s">
        <v>49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51"/>
      <c r="K17" s="51"/>
      <c r="L17" s="23" t="s">
        <v>60</v>
      </c>
      <c r="M17" s="53">
        <f>SUM(F30)</f>
        <v>0</v>
      </c>
      <c r="N17" s="53">
        <f>SUM(G30)</f>
        <v>0</v>
      </c>
    </row>
    <row r="18" spans="1:14" ht="10.050000000000001" customHeight="1" x14ac:dyDescent="0.3">
      <c r="A18" s="62">
        <v>16</v>
      </c>
      <c r="B18" s="12" t="s">
        <v>16</v>
      </c>
      <c r="C18" s="12" t="s">
        <v>51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51"/>
      <c r="K18" s="51"/>
      <c r="L18" s="23" t="s">
        <v>61</v>
      </c>
      <c r="M18" s="53">
        <f>SUM(F32)</f>
        <v>0</v>
      </c>
      <c r="N18" s="53">
        <f>SUM(G32)</f>
        <v>0</v>
      </c>
    </row>
    <row r="19" spans="1:14" ht="10.050000000000001" customHeight="1" x14ac:dyDescent="0.3">
      <c r="A19" s="62">
        <v>17</v>
      </c>
      <c r="B19" s="12" t="s">
        <v>17</v>
      </c>
      <c r="C19" s="15" t="s">
        <v>54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51" t="e">
        <f>SUM(D19,D21)/H19</f>
        <v>#DIV/0!</v>
      </c>
      <c r="K19" s="51" t="e">
        <f>M11/I19</f>
        <v>#DIV/0!</v>
      </c>
      <c r="L19" s="23" t="s">
        <v>62</v>
      </c>
      <c r="M19" s="53">
        <f>SUM(F34,F33)</f>
        <v>0</v>
      </c>
      <c r="N19" s="53">
        <f>SUM(G34,G33)</f>
        <v>0</v>
      </c>
    </row>
    <row r="20" spans="1:14" ht="10.050000000000001" customHeight="1" x14ac:dyDescent="0.3">
      <c r="A20" s="62">
        <v>18</v>
      </c>
      <c r="B20" s="12" t="s">
        <v>18</v>
      </c>
      <c r="C20" s="12" t="s">
        <v>55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51" t="e">
        <f>SUM(D20,D29)/H20</f>
        <v>#DIV/0!</v>
      </c>
      <c r="K20" s="51" t="e">
        <f>M12/I20</f>
        <v>#DIV/0!</v>
      </c>
      <c r="L20" s="23" t="s">
        <v>63</v>
      </c>
      <c r="M20" s="53">
        <f>SUM(F35)</f>
        <v>0</v>
      </c>
      <c r="N20" s="53">
        <f>SUM(G35)</f>
        <v>0</v>
      </c>
    </row>
    <row r="21" spans="1:14" ht="10.050000000000001" customHeight="1" x14ac:dyDescent="0.3">
      <c r="A21" s="62">
        <v>19</v>
      </c>
      <c r="B21" s="12" t="s">
        <v>19</v>
      </c>
      <c r="C21" s="12" t="s">
        <v>54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51"/>
      <c r="K21" s="51"/>
      <c r="L21" s="23" t="s">
        <v>64</v>
      </c>
      <c r="M21" s="53">
        <f>SUM(F37,F36)</f>
        <v>0</v>
      </c>
      <c r="N21" s="53">
        <f>SUM(G37,G36)</f>
        <v>0</v>
      </c>
    </row>
    <row r="22" spans="1:14" ht="10.050000000000001" customHeight="1" x14ac:dyDescent="0.3">
      <c r="A22" s="62">
        <v>20</v>
      </c>
      <c r="B22" s="12" t="s">
        <v>20</v>
      </c>
      <c r="C22" s="12" t="s">
        <v>46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51"/>
      <c r="K22" s="51"/>
      <c r="L22" s="23" t="s">
        <v>65</v>
      </c>
      <c r="M22" s="53">
        <f>SUM(F38)</f>
        <v>0</v>
      </c>
      <c r="N22" s="53">
        <f>SUM(G38)</f>
        <v>0</v>
      </c>
    </row>
    <row r="23" spans="1:14" ht="10.050000000000001" customHeight="1" x14ac:dyDescent="0.3">
      <c r="A23" s="62">
        <v>21</v>
      </c>
      <c r="B23" s="12" t="s">
        <v>21</v>
      </c>
      <c r="C23" s="12" t="s">
        <v>56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51" t="e">
        <f>SUM(D23)/H23</f>
        <v>#DIV/0!</v>
      </c>
      <c r="K23" s="51" t="e">
        <f>M13/I23</f>
        <v>#DIV/0!</v>
      </c>
      <c r="L23" s="23" t="s">
        <v>66</v>
      </c>
      <c r="M23" s="53">
        <f>SUM(F40,F39)</f>
        <v>0</v>
      </c>
      <c r="N23" s="53">
        <f>SUM(G39,G40)</f>
        <v>0</v>
      </c>
    </row>
    <row r="24" spans="1:14" ht="10.050000000000001" customHeight="1" x14ac:dyDescent="0.3">
      <c r="A24" s="62">
        <v>22</v>
      </c>
      <c r="B24" s="12" t="s">
        <v>22</v>
      </c>
      <c r="C24" s="12" t="s">
        <v>57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51" t="e">
        <f>SUM(D24)/H24</f>
        <v>#DIV/0!</v>
      </c>
      <c r="K24" s="51" t="e">
        <f>M14/I24</f>
        <v>#DIV/0!</v>
      </c>
      <c r="L24" s="23" t="s">
        <v>67</v>
      </c>
      <c r="M24" s="53">
        <f>SUM(F41)</f>
        <v>0</v>
      </c>
      <c r="N24" s="53">
        <f>SUM(G41)</f>
        <v>0</v>
      </c>
    </row>
    <row r="25" spans="1:14" ht="10.050000000000001" customHeight="1" x14ac:dyDescent="0.3">
      <c r="A25" s="62">
        <v>23</v>
      </c>
      <c r="B25" s="12" t="s">
        <v>23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51"/>
      <c r="K25" s="51"/>
      <c r="L25" s="26" t="s">
        <v>68</v>
      </c>
      <c r="M25" s="53">
        <f>SUM(F42)</f>
        <v>0</v>
      </c>
      <c r="N25" s="53">
        <f>SUM(G42)</f>
        <v>0</v>
      </c>
    </row>
    <row r="26" spans="1:14" ht="10.050000000000001" customHeight="1" x14ac:dyDescent="0.3">
      <c r="A26" s="62">
        <v>24</v>
      </c>
      <c r="B26" s="12" t="s">
        <v>24</v>
      </c>
      <c r="C26" s="12" t="s">
        <v>58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51" t="e">
        <f>SUM(D26)/H26</f>
        <v>#DIV/0!</v>
      </c>
      <c r="K26" s="51" t="e">
        <f>M15/I26</f>
        <v>#DIV/0!</v>
      </c>
      <c r="L26" s="27" t="s">
        <v>69</v>
      </c>
      <c r="M26" s="53">
        <f>SUM(F44)</f>
        <v>0</v>
      </c>
      <c r="N26" s="53">
        <f>SUM(G44)</f>
        <v>0</v>
      </c>
    </row>
    <row r="27" spans="1:14" ht="10.050000000000001" customHeight="1" x14ac:dyDescent="0.3">
      <c r="A27" s="62">
        <v>25</v>
      </c>
      <c r="B27" s="12" t="s">
        <v>25</v>
      </c>
      <c r="C27" s="12" t="s">
        <v>59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51" t="e">
        <f>SUM(D27:D28)/H27</f>
        <v>#DIV/0!</v>
      </c>
      <c r="K27" s="51" t="e">
        <f>M16/I27</f>
        <v>#DIV/0!</v>
      </c>
      <c r="L27" s="9" t="s">
        <v>76</v>
      </c>
      <c r="M27" s="9">
        <f>SUM(M2:M26)</f>
        <v>0</v>
      </c>
      <c r="N27" s="9">
        <f>SUM(N2:N26)</f>
        <v>0</v>
      </c>
    </row>
    <row r="28" spans="1:14" ht="10.050000000000001" customHeight="1" x14ac:dyDescent="0.3">
      <c r="A28" s="62">
        <v>26</v>
      </c>
      <c r="B28" s="12" t="s">
        <v>26</v>
      </c>
      <c r="C28" s="12" t="s">
        <v>59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51"/>
      <c r="K28" s="51"/>
    </row>
    <row r="29" spans="1:14" ht="10.95" customHeight="1" x14ac:dyDescent="0.3">
      <c r="A29" s="62">
        <v>27</v>
      </c>
      <c r="B29" s="12" t="s">
        <v>27</v>
      </c>
      <c r="C29" s="12" t="s">
        <v>55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51"/>
      <c r="K29" s="51"/>
      <c r="L29" s="49" t="s">
        <v>93</v>
      </c>
      <c r="M29" s="48" t="e">
        <f>F48/I48</f>
        <v>#DIV/0!</v>
      </c>
    </row>
    <row r="30" spans="1:14" ht="10.95" customHeight="1" x14ac:dyDescent="0.3">
      <c r="A30" s="62">
        <v>28</v>
      </c>
      <c r="B30" s="12" t="s">
        <v>28</v>
      </c>
      <c r="C30" s="12" t="s">
        <v>60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51" t="e">
        <f>SUM(D30)/H30</f>
        <v>#DIV/0!</v>
      </c>
      <c r="K30" s="51" t="e">
        <f>M17/I31</f>
        <v>#DIV/0!</v>
      </c>
      <c r="L30" s="49" t="s">
        <v>94</v>
      </c>
      <c r="M30" s="48" t="e">
        <f>D48/H48</f>
        <v>#DIV/0!</v>
      </c>
    </row>
    <row r="31" spans="1:14" ht="10.050000000000001" customHeight="1" x14ac:dyDescent="0.3">
      <c r="A31" s="62">
        <v>29</v>
      </c>
      <c r="B31" s="17" t="s">
        <v>29</v>
      </c>
      <c r="C31" s="17" t="s">
        <v>49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51"/>
      <c r="K31" s="51"/>
    </row>
    <row r="32" spans="1:14" ht="10.050000000000001" customHeight="1" x14ac:dyDescent="0.3">
      <c r="A32" s="62">
        <v>30</v>
      </c>
      <c r="B32" s="12" t="s">
        <v>30</v>
      </c>
      <c r="C32" s="12" t="s">
        <v>61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51" t="e">
        <f>SUM(D32)/H32</f>
        <v>#DIV/0!</v>
      </c>
      <c r="K32" s="51" t="e">
        <f>M18/I32</f>
        <v>#DIV/0!</v>
      </c>
    </row>
    <row r="33" spans="1:11" ht="10.050000000000001" customHeight="1" x14ac:dyDescent="0.3">
      <c r="A33" s="62">
        <v>31</v>
      </c>
      <c r="B33" s="12" t="s">
        <v>31</v>
      </c>
      <c r="C33" s="12" t="s">
        <v>62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51" t="e">
        <f>SUM(D33:D34)/H33</f>
        <v>#DIV/0!</v>
      </c>
      <c r="K33" s="51" t="e">
        <f>M19/I33</f>
        <v>#DIV/0!</v>
      </c>
    </row>
    <row r="34" spans="1:11" ht="10.050000000000001" customHeight="1" x14ac:dyDescent="0.3">
      <c r="A34" s="62">
        <v>32</v>
      </c>
      <c r="B34" s="12" t="s">
        <v>32</v>
      </c>
      <c r="C34" s="12" t="s">
        <v>62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51"/>
      <c r="K34" s="51"/>
    </row>
    <row r="35" spans="1:11" ht="10.050000000000001" customHeight="1" x14ac:dyDescent="0.3">
      <c r="A35" s="62">
        <v>33</v>
      </c>
      <c r="B35" s="12" t="s">
        <v>33</v>
      </c>
      <c r="C35" s="12" t="s">
        <v>63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51" t="e">
        <f>SUM(D35)/H35</f>
        <v>#DIV/0!</v>
      </c>
      <c r="K35" s="51" t="e">
        <f>M20/I35</f>
        <v>#DIV/0!</v>
      </c>
    </row>
    <row r="36" spans="1:11" ht="10.050000000000001" customHeight="1" x14ac:dyDescent="0.3">
      <c r="A36" s="62">
        <v>34</v>
      </c>
      <c r="B36" s="12" t="s">
        <v>34</v>
      </c>
      <c r="C36" s="12" t="s">
        <v>64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51" t="e">
        <f>SUM(D36:D37)/H36</f>
        <v>#DIV/0!</v>
      </c>
      <c r="K36" s="51" t="e">
        <f>M21/I36</f>
        <v>#DIV/0!</v>
      </c>
    </row>
    <row r="37" spans="1:11" ht="10.050000000000001" customHeight="1" x14ac:dyDescent="0.3">
      <c r="A37" s="62">
        <v>35</v>
      </c>
      <c r="B37" s="12" t="s">
        <v>35</v>
      </c>
      <c r="C37" s="12" t="s">
        <v>64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51"/>
      <c r="K37" s="51"/>
    </row>
    <row r="38" spans="1:11" ht="10.050000000000001" customHeight="1" x14ac:dyDescent="0.3">
      <c r="A38" s="62">
        <v>36</v>
      </c>
      <c r="B38" s="12" t="s">
        <v>36</v>
      </c>
      <c r="C38" s="12" t="s">
        <v>65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51" t="e">
        <f>SUM(D38)/H38</f>
        <v>#DIV/0!</v>
      </c>
      <c r="K38" s="51" t="e">
        <f>M22/I38</f>
        <v>#DIV/0!</v>
      </c>
    </row>
    <row r="39" spans="1:11" ht="10.050000000000001" customHeight="1" x14ac:dyDescent="0.3">
      <c r="A39" s="62">
        <v>37</v>
      </c>
      <c r="B39" s="12" t="s">
        <v>37</v>
      </c>
      <c r="C39" s="12" t="s">
        <v>66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51" t="e">
        <f>SUM(D39:D40)/H39</f>
        <v>#DIV/0!</v>
      </c>
      <c r="K39" s="51" t="e">
        <f>M23/I39</f>
        <v>#DIV/0!</v>
      </c>
    </row>
    <row r="40" spans="1:11" ht="10.050000000000001" customHeight="1" x14ac:dyDescent="0.3">
      <c r="A40" s="62">
        <v>38</v>
      </c>
      <c r="B40" s="12" t="s">
        <v>38</v>
      </c>
      <c r="C40" s="12" t="s">
        <v>66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51"/>
      <c r="K40" s="51"/>
    </row>
    <row r="41" spans="1:11" ht="10.050000000000001" customHeight="1" x14ac:dyDescent="0.3">
      <c r="A41" s="62">
        <v>39</v>
      </c>
      <c r="B41" s="12" t="s">
        <v>39</v>
      </c>
      <c r="C41" s="12" t="s">
        <v>67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51" t="e">
        <f>SUM(D41)/H41</f>
        <v>#DIV/0!</v>
      </c>
      <c r="K41" s="51" t="e">
        <f>M24/I41</f>
        <v>#DIV/0!</v>
      </c>
    </row>
    <row r="42" spans="1:11" ht="10.050000000000001" customHeight="1" x14ac:dyDescent="0.3">
      <c r="A42" s="62">
        <v>40</v>
      </c>
      <c r="B42" s="12" t="s">
        <v>40</v>
      </c>
      <c r="C42" s="14" t="s">
        <v>68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51" t="e">
        <f>SUM(D42)/H42</f>
        <v>#DIV/0!</v>
      </c>
      <c r="K42" s="51" t="e">
        <f>M25/I42</f>
        <v>#DIV/0!</v>
      </c>
    </row>
    <row r="43" spans="1:11" ht="10.050000000000001" customHeight="1" x14ac:dyDescent="0.3">
      <c r="A43" s="62">
        <v>41</v>
      </c>
      <c r="B43" s="12" t="s">
        <v>41</v>
      </c>
      <c r="C43" s="12" t="s">
        <v>48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51"/>
      <c r="K43" s="51"/>
    </row>
    <row r="44" spans="1:11" ht="10.050000000000001" customHeight="1" x14ac:dyDescent="0.3">
      <c r="A44" s="62">
        <v>42</v>
      </c>
      <c r="B44" s="18" t="s">
        <v>42</v>
      </c>
      <c r="C44" s="19" t="s">
        <v>69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51" t="e">
        <f>SUM(D44)/H44</f>
        <v>#DIV/0!</v>
      </c>
      <c r="K44" s="51" t="e">
        <f>M26/I44</f>
        <v>#DIV/0!</v>
      </c>
    </row>
    <row r="45" spans="1:11" ht="10.050000000000001" customHeight="1" x14ac:dyDescent="0.3">
      <c r="A45" s="62">
        <v>43</v>
      </c>
      <c r="B45" s="12" t="s">
        <v>43</v>
      </c>
      <c r="C45" s="12" t="s">
        <v>70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51"/>
      <c r="K45" s="51"/>
    </row>
    <row r="46" spans="1:11" ht="10.050000000000001" customHeight="1" x14ac:dyDescent="0.3">
      <c r="A46" s="62">
        <v>44</v>
      </c>
      <c r="B46" s="12" t="s">
        <v>44</v>
      </c>
      <c r="C46" s="12" t="s">
        <v>70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51"/>
      <c r="K46" s="51"/>
    </row>
    <row r="47" spans="1:11" ht="10.050000000000001" customHeight="1" x14ac:dyDescent="0.3">
      <c r="B47" s="20"/>
      <c r="C47" s="9" t="s">
        <v>76</v>
      </c>
      <c r="D47" s="21">
        <f t="shared" ref="D47:I47" si="0">SUM(D3:D46)</f>
        <v>0</v>
      </c>
      <c r="E47" s="21">
        <f t="shared" si="0"/>
        <v>0</v>
      </c>
      <c r="F47" s="21">
        <f t="shared" si="0"/>
        <v>0</v>
      </c>
      <c r="G47" s="21">
        <f t="shared" si="0"/>
        <v>0</v>
      </c>
      <c r="H47" s="21">
        <f t="shared" si="0"/>
        <v>0</v>
      </c>
      <c r="I47" s="21">
        <f t="shared" si="0"/>
        <v>0</v>
      </c>
      <c r="J47" s="22" t="e">
        <f>D47/H47</f>
        <v>#DIV/0!</v>
      </c>
      <c r="K47" s="22" t="e">
        <f>M27/I47</f>
        <v>#DIV/0!</v>
      </c>
    </row>
    <row r="48" spans="1:11" x14ac:dyDescent="0.3">
      <c r="D48" s="46">
        <f>D47</f>
        <v>0</v>
      </c>
      <c r="E48" s="47"/>
      <c r="F48" s="46">
        <f>F47</f>
        <v>0</v>
      </c>
      <c r="G48" s="47"/>
      <c r="H48" s="46">
        <f>H47</f>
        <v>0</v>
      </c>
      <c r="I48" s="46">
        <f>I47</f>
        <v>0</v>
      </c>
    </row>
  </sheetData>
  <sheetProtection algorithmName="SHA-512" hashValue="s+BwCIaCC4/00OjlfwQTyVVKuk5NlqBxy5q5bUO5Bt5aN5x0FOuC4113qCo9jTjdIp/McMLI1oI496ZhDdfAAw==" saltValue="6LD7B+4S5BWuDxbdlVYvyA==" spinCount="100000" sheet="1" objects="1" scenarios="1" selectLockedCells="1" sort="0" autoFilter="0" pivotTables="0"/>
  <autoFilter ref="A1:N1">
    <filterColumn colId="3" showButton="0"/>
    <filterColumn colId="5" showButton="0"/>
  </autoFilter>
  <mergeCells count="2">
    <mergeCell ref="D1:E1"/>
    <mergeCell ref="F1:G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49"/>
  <sheetViews>
    <sheetView workbookViewId="0">
      <selection activeCell="H14" sqref="H14"/>
    </sheetView>
  </sheetViews>
  <sheetFormatPr defaultRowHeight="14.4" x14ac:dyDescent="0.3"/>
  <cols>
    <col min="1" max="1" width="3.77734375" customWidth="1"/>
    <col min="2" max="2" width="18.77734375" customWidth="1"/>
    <col min="3" max="3" width="16.6640625" customWidth="1"/>
    <col min="4" max="4" width="5.77734375" customWidth="1"/>
    <col min="5" max="5" width="7.5546875" customWidth="1"/>
    <col min="6" max="6" width="7.6640625" customWidth="1"/>
    <col min="7" max="7" width="7.109375" customWidth="1"/>
    <col min="8" max="8" width="10.5546875" customWidth="1"/>
    <col min="10" max="11" width="6.77734375" customWidth="1"/>
    <col min="12" max="12" width="38.33203125" bestFit="1" customWidth="1"/>
    <col min="13" max="14" width="6.77734375" customWidth="1"/>
  </cols>
  <sheetData>
    <row r="1" spans="1:14" ht="23.4" x14ac:dyDescent="0.45">
      <c r="A1" s="7" t="s">
        <v>0</v>
      </c>
      <c r="B1" s="8" t="s">
        <v>81</v>
      </c>
      <c r="C1" s="8" t="s">
        <v>82</v>
      </c>
      <c r="D1" s="59" t="s">
        <v>73</v>
      </c>
      <c r="E1" s="60"/>
      <c r="F1" s="59" t="s">
        <v>71</v>
      </c>
      <c r="G1" s="60"/>
      <c r="H1" s="5" t="s">
        <v>79</v>
      </c>
      <c r="I1" s="5"/>
      <c r="J1" s="11" t="s">
        <v>80</v>
      </c>
      <c r="K1" s="10"/>
      <c r="L1" s="4" t="s">
        <v>75</v>
      </c>
      <c r="M1" s="4" t="s">
        <v>74</v>
      </c>
      <c r="N1" s="4" t="s">
        <v>72</v>
      </c>
    </row>
    <row r="2" spans="1:14" ht="10.050000000000001" customHeight="1" x14ac:dyDescent="0.3">
      <c r="A2" s="61"/>
      <c r="B2" s="1"/>
      <c r="C2" s="2"/>
      <c r="D2" s="1" t="s">
        <v>74</v>
      </c>
      <c r="E2" s="3" t="s">
        <v>72</v>
      </c>
      <c r="F2" s="3" t="s">
        <v>74</v>
      </c>
      <c r="G2" s="3" t="s">
        <v>72</v>
      </c>
      <c r="H2" s="6" t="s">
        <v>77</v>
      </c>
      <c r="I2" s="6" t="s">
        <v>78</v>
      </c>
      <c r="J2" s="6" t="s">
        <v>77</v>
      </c>
      <c r="K2" s="6" t="s">
        <v>78</v>
      </c>
      <c r="L2" s="12" t="s">
        <v>45</v>
      </c>
      <c r="M2" s="53">
        <f>SUM(F3)</f>
        <v>0</v>
      </c>
      <c r="N2" s="53">
        <f>SUM(G3)</f>
        <v>0</v>
      </c>
    </row>
    <row r="3" spans="1:14" ht="10.050000000000001" customHeight="1" x14ac:dyDescent="0.3">
      <c r="A3" s="62">
        <v>1</v>
      </c>
      <c r="B3" s="12" t="s">
        <v>1</v>
      </c>
      <c r="C3" s="12" t="s">
        <v>45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50" t="e">
        <f>D3/H3</f>
        <v>#DIV/0!</v>
      </c>
      <c r="K3" s="51" t="e">
        <f>M2/I3</f>
        <v>#DIV/0!</v>
      </c>
      <c r="L3" s="23" t="s">
        <v>46</v>
      </c>
      <c r="M3" s="53">
        <f>SUM(F4,F22)</f>
        <v>0</v>
      </c>
      <c r="N3" s="53">
        <f>SUM(G4,G22)</f>
        <v>0</v>
      </c>
    </row>
    <row r="4" spans="1:14" ht="10.050000000000001" customHeight="1" x14ac:dyDescent="0.3">
      <c r="A4" s="62">
        <v>2</v>
      </c>
      <c r="B4" s="15" t="s">
        <v>2</v>
      </c>
      <c r="C4" s="12" t="s">
        <v>46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50" t="e">
        <f>SUM(D4,D22)/H4</f>
        <v>#DIV/0!</v>
      </c>
      <c r="K4" s="51" t="e">
        <f>M3/I4</f>
        <v>#DIV/0!</v>
      </c>
      <c r="L4" s="23" t="s">
        <v>47</v>
      </c>
      <c r="M4" s="53">
        <f>SUM(F5,F7,F11,F12)</f>
        <v>0</v>
      </c>
      <c r="N4" s="53">
        <f>SUM(G5,G7,G11,G12)</f>
        <v>0</v>
      </c>
    </row>
    <row r="5" spans="1:14" ht="10.050000000000001" customHeight="1" x14ac:dyDescent="0.3">
      <c r="A5" s="62">
        <v>3</v>
      </c>
      <c r="B5" s="12" t="s">
        <v>3</v>
      </c>
      <c r="C5" s="12" t="s">
        <v>47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50" t="e">
        <f>SUM(D5,D11,D12,D7)/H5</f>
        <v>#DIV/0!</v>
      </c>
      <c r="K5" s="51" t="e">
        <f>M4/I5</f>
        <v>#DIV/0!</v>
      </c>
      <c r="L5" s="23" t="s">
        <v>48</v>
      </c>
      <c r="M5" s="53">
        <f>SUM(F43,F6)</f>
        <v>0</v>
      </c>
      <c r="N5" s="53">
        <f>SUM(G6,G43)</f>
        <v>0</v>
      </c>
    </row>
    <row r="6" spans="1:14" ht="10.050000000000001" customHeight="1" x14ac:dyDescent="0.3">
      <c r="A6" s="62">
        <v>4</v>
      </c>
      <c r="B6" s="12" t="s">
        <v>4</v>
      </c>
      <c r="C6" s="12" t="s">
        <v>48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51" t="e">
        <f>SUM(D6,D43)/H6</f>
        <v>#DIV/0!</v>
      </c>
      <c r="K6" s="51" t="e">
        <f>M5/I6</f>
        <v>#DIV/0!</v>
      </c>
      <c r="L6" s="24" t="s">
        <v>49</v>
      </c>
      <c r="M6" s="53">
        <f>SUM(F8,F17)</f>
        <v>0</v>
      </c>
      <c r="N6" s="53">
        <f>SUM(G8,G17)</f>
        <v>0</v>
      </c>
    </row>
    <row r="7" spans="1:14" ht="10.050000000000001" customHeight="1" x14ac:dyDescent="0.3">
      <c r="A7" s="62">
        <v>5</v>
      </c>
      <c r="B7" s="12" t="s">
        <v>5</v>
      </c>
      <c r="C7" s="12" t="s">
        <v>47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51"/>
      <c r="K7" s="51"/>
      <c r="L7" s="23" t="s">
        <v>50</v>
      </c>
      <c r="M7" s="53">
        <f>SUM(F9)</f>
        <v>0</v>
      </c>
      <c r="N7" s="53">
        <f>SUM(G9)</f>
        <v>0</v>
      </c>
    </row>
    <row r="8" spans="1:14" ht="10.050000000000001" customHeight="1" x14ac:dyDescent="0.3">
      <c r="A8" s="62">
        <v>6</v>
      </c>
      <c r="B8" s="16" t="s">
        <v>6</v>
      </c>
      <c r="C8" s="16" t="s">
        <v>49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51" t="e">
        <f>SUM(D8,D17,D31)/H8</f>
        <v>#DIV/0!</v>
      </c>
      <c r="K8" s="51" t="e">
        <f>M6/I8</f>
        <v>#DIV/0!</v>
      </c>
      <c r="L8" s="23" t="s">
        <v>51</v>
      </c>
      <c r="M8" s="53">
        <f>SUM(F10,F18,F45,F46)</f>
        <v>0</v>
      </c>
      <c r="N8" s="53">
        <f>SUM(G10,G18,G45,G46)</f>
        <v>0</v>
      </c>
    </row>
    <row r="9" spans="1:14" ht="10.050000000000001" customHeight="1" x14ac:dyDescent="0.3">
      <c r="A9" s="62">
        <v>7</v>
      </c>
      <c r="B9" s="12" t="s">
        <v>7</v>
      </c>
      <c r="C9" s="12" t="s">
        <v>50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51" t="e">
        <f>D9/H9</f>
        <v>#DIV/0!</v>
      </c>
      <c r="K9" s="51" t="e">
        <f>M7/I9</f>
        <v>#DIV/0!</v>
      </c>
      <c r="L9" s="23" t="s">
        <v>52</v>
      </c>
      <c r="M9" s="53">
        <f>SUM(F13,F14,F15)</f>
        <v>0</v>
      </c>
      <c r="N9" s="53">
        <f>SUM(G13,G14,G15)</f>
        <v>0</v>
      </c>
    </row>
    <row r="10" spans="1:14" ht="10.050000000000001" customHeight="1" x14ac:dyDescent="0.3">
      <c r="A10" s="62">
        <v>8</v>
      </c>
      <c r="B10" s="12" t="s">
        <v>8</v>
      </c>
      <c r="C10" s="12" t="s">
        <v>51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51" t="e">
        <f>SUM(D10,D18,D25,D45,D46)/H10</f>
        <v>#DIV/0!</v>
      </c>
      <c r="K10" s="51" t="e">
        <f>M8/I10</f>
        <v>#DIV/0!</v>
      </c>
      <c r="L10" s="23" t="s">
        <v>53</v>
      </c>
      <c r="M10" s="53">
        <f>SUM(F16)</f>
        <v>0</v>
      </c>
      <c r="N10" s="53">
        <f>SUM(G16)</f>
        <v>0</v>
      </c>
    </row>
    <row r="11" spans="1:14" ht="10.050000000000001" customHeight="1" x14ac:dyDescent="0.3">
      <c r="A11" s="62">
        <v>9</v>
      </c>
      <c r="B11" s="12" t="s">
        <v>9</v>
      </c>
      <c r="C11" s="12" t="s">
        <v>47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51"/>
      <c r="K11" s="51"/>
      <c r="L11" s="25" t="s">
        <v>54</v>
      </c>
      <c r="M11" s="53">
        <f>SUM(F21,F19)</f>
        <v>0</v>
      </c>
      <c r="N11" s="53">
        <f>SUM(G21,G19)</f>
        <v>0</v>
      </c>
    </row>
    <row r="12" spans="1:14" ht="10.050000000000001" customHeight="1" x14ac:dyDescent="0.3">
      <c r="A12" s="62">
        <v>10</v>
      </c>
      <c r="B12" s="12" t="s">
        <v>10</v>
      </c>
      <c r="C12" s="12" t="s">
        <v>47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51"/>
      <c r="K12" s="51"/>
      <c r="L12" s="23" t="s">
        <v>55</v>
      </c>
      <c r="M12" s="53">
        <f>SUM(F20,F29)</f>
        <v>0</v>
      </c>
      <c r="N12" s="53">
        <f>SUM(G20,G29)</f>
        <v>0</v>
      </c>
    </row>
    <row r="13" spans="1:14" ht="10.050000000000001" customHeight="1" x14ac:dyDescent="0.3">
      <c r="A13" s="62">
        <v>11</v>
      </c>
      <c r="B13" s="12" t="s">
        <v>11</v>
      </c>
      <c r="C13" s="12" t="s">
        <v>52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51" t="e">
        <f>SUM(D13,D14,D15)/H13</f>
        <v>#DIV/0!</v>
      </c>
      <c r="K13" s="51" t="e">
        <f>M9/I13</f>
        <v>#DIV/0!</v>
      </c>
      <c r="L13" s="23" t="s">
        <v>56</v>
      </c>
      <c r="M13" s="53">
        <f>SUM(F23)</f>
        <v>0</v>
      </c>
      <c r="N13" s="53">
        <f>SUM(G23)</f>
        <v>0</v>
      </c>
    </row>
    <row r="14" spans="1:14" ht="10.050000000000001" customHeight="1" x14ac:dyDescent="0.3">
      <c r="A14" s="62">
        <v>12</v>
      </c>
      <c r="B14" s="12" t="s">
        <v>12</v>
      </c>
      <c r="C14" s="12" t="s">
        <v>52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51"/>
      <c r="K14" s="51"/>
      <c r="L14" s="23" t="s">
        <v>57</v>
      </c>
      <c r="M14" s="53">
        <f>SUM(F24)</f>
        <v>0</v>
      </c>
      <c r="N14" s="53">
        <f>SUM(G24)</f>
        <v>0</v>
      </c>
    </row>
    <row r="15" spans="1:14" ht="10.050000000000001" customHeight="1" x14ac:dyDescent="0.3">
      <c r="A15" s="62">
        <v>13</v>
      </c>
      <c r="B15" s="12" t="s">
        <v>13</v>
      </c>
      <c r="C15" s="12" t="s">
        <v>52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51"/>
      <c r="K15" s="51"/>
      <c r="L15" s="23" t="s">
        <v>58</v>
      </c>
      <c r="M15" s="53">
        <f>SUM(F26)</f>
        <v>0</v>
      </c>
      <c r="N15" s="53">
        <f>SUM(G26)</f>
        <v>0</v>
      </c>
    </row>
    <row r="16" spans="1:14" ht="10.050000000000001" customHeight="1" x14ac:dyDescent="0.3">
      <c r="A16" s="62">
        <v>14</v>
      </c>
      <c r="B16" s="12" t="s">
        <v>14</v>
      </c>
      <c r="C16" s="12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51" t="e">
        <f>SUM(D16)/H16</f>
        <v>#DIV/0!</v>
      </c>
      <c r="K16" s="51" t="e">
        <f>M10/I16</f>
        <v>#DIV/0!</v>
      </c>
      <c r="L16" s="23" t="s">
        <v>59</v>
      </c>
      <c r="M16" s="53">
        <f>SUM(F28,F27)</f>
        <v>0</v>
      </c>
      <c r="N16" s="53">
        <f>SUM(G27,G28)</f>
        <v>0</v>
      </c>
    </row>
    <row r="17" spans="1:14" ht="10.050000000000001" customHeight="1" x14ac:dyDescent="0.3">
      <c r="A17" s="62">
        <v>15</v>
      </c>
      <c r="B17" s="17" t="s">
        <v>15</v>
      </c>
      <c r="C17" s="17" t="s">
        <v>49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51"/>
      <c r="K17" s="51"/>
      <c r="L17" s="23" t="s">
        <v>60</v>
      </c>
      <c r="M17" s="53">
        <f>SUM(F30)</f>
        <v>0</v>
      </c>
      <c r="N17" s="53">
        <f>SUM(G30)</f>
        <v>0</v>
      </c>
    </row>
    <row r="18" spans="1:14" ht="10.050000000000001" customHeight="1" x14ac:dyDescent="0.3">
      <c r="A18" s="62">
        <v>16</v>
      </c>
      <c r="B18" s="12" t="s">
        <v>16</v>
      </c>
      <c r="C18" s="12" t="s">
        <v>51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51"/>
      <c r="K18" s="51"/>
      <c r="L18" s="23" t="s">
        <v>61</v>
      </c>
      <c r="M18" s="53">
        <f>SUM(F32)</f>
        <v>0</v>
      </c>
      <c r="N18" s="53">
        <f>SUM(G32)</f>
        <v>0</v>
      </c>
    </row>
    <row r="19" spans="1:14" ht="10.050000000000001" customHeight="1" x14ac:dyDescent="0.3">
      <c r="A19" s="62">
        <v>17</v>
      </c>
      <c r="B19" s="12" t="s">
        <v>17</v>
      </c>
      <c r="C19" s="15" t="s">
        <v>54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51" t="e">
        <f>SUM(D19,D21)/H19</f>
        <v>#DIV/0!</v>
      </c>
      <c r="K19" s="51" t="e">
        <f>M11/I19</f>
        <v>#DIV/0!</v>
      </c>
      <c r="L19" s="23" t="s">
        <v>62</v>
      </c>
      <c r="M19" s="53">
        <f>SUM(F34,F33)</f>
        <v>0</v>
      </c>
      <c r="N19" s="53">
        <f>SUM(G34,G33)</f>
        <v>0</v>
      </c>
    </row>
    <row r="20" spans="1:14" ht="10.050000000000001" customHeight="1" x14ac:dyDescent="0.3">
      <c r="A20" s="62">
        <v>18</v>
      </c>
      <c r="B20" s="12" t="s">
        <v>18</v>
      </c>
      <c r="C20" s="12" t="s">
        <v>55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51" t="e">
        <f>SUM(D20,D29)/H20</f>
        <v>#DIV/0!</v>
      </c>
      <c r="K20" s="51" t="e">
        <f>M12/I20</f>
        <v>#DIV/0!</v>
      </c>
      <c r="L20" s="23" t="s">
        <v>63</v>
      </c>
      <c r="M20" s="53">
        <f>SUM(F35)</f>
        <v>0</v>
      </c>
      <c r="N20" s="53">
        <f>SUM(G35)</f>
        <v>0</v>
      </c>
    </row>
    <row r="21" spans="1:14" ht="10.050000000000001" customHeight="1" x14ac:dyDescent="0.3">
      <c r="A21" s="62">
        <v>19</v>
      </c>
      <c r="B21" s="12" t="s">
        <v>19</v>
      </c>
      <c r="C21" s="12" t="s">
        <v>54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51"/>
      <c r="K21" s="51"/>
      <c r="L21" s="23" t="s">
        <v>64</v>
      </c>
      <c r="M21" s="53">
        <f>SUM(F37,F36)</f>
        <v>0</v>
      </c>
      <c r="N21" s="53">
        <f>SUM(G37,G36)</f>
        <v>0</v>
      </c>
    </row>
    <row r="22" spans="1:14" ht="10.050000000000001" customHeight="1" x14ac:dyDescent="0.3">
      <c r="A22" s="62">
        <v>20</v>
      </c>
      <c r="B22" s="12" t="s">
        <v>20</v>
      </c>
      <c r="C22" s="12" t="s">
        <v>46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51"/>
      <c r="K22" s="51"/>
      <c r="L22" s="23" t="s">
        <v>65</v>
      </c>
      <c r="M22" s="53">
        <f>SUM(F38)</f>
        <v>0</v>
      </c>
      <c r="N22" s="53">
        <f>SUM(G38)</f>
        <v>0</v>
      </c>
    </row>
    <row r="23" spans="1:14" ht="10.050000000000001" customHeight="1" x14ac:dyDescent="0.3">
      <c r="A23" s="62">
        <v>21</v>
      </c>
      <c r="B23" s="12" t="s">
        <v>21</v>
      </c>
      <c r="C23" s="12" t="s">
        <v>56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51" t="e">
        <f>SUM(D23)/H23</f>
        <v>#DIV/0!</v>
      </c>
      <c r="K23" s="51" t="e">
        <f>M13/I23</f>
        <v>#DIV/0!</v>
      </c>
      <c r="L23" s="23" t="s">
        <v>66</v>
      </c>
      <c r="M23" s="53">
        <f>SUM(F40,F39)</f>
        <v>0</v>
      </c>
      <c r="N23" s="53">
        <f>SUM(G39,G40)</f>
        <v>0</v>
      </c>
    </row>
    <row r="24" spans="1:14" ht="10.050000000000001" customHeight="1" x14ac:dyDescent="0.3">
      <c r="A24" s="62">
        <v>22</v>
      </c>
      <c r="B24" s="12" t="s">
        <v>22</v>
      </c>
      <c r="C24" s="12" t="s">
        <v>57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51" t="e">
        <f>SUM(D24)/H24</f>
        <v>#DIV/0!</v>
      </c>
      <c r="K24" s="51" t="e">
        <f>M14/I24</f>
        <v>#DIV/0!</v>
      </c>
      <c r="L24" s="23" t="s">
        <v>67</v>
      </c>
      <c r="M24" s="53">
        <f>SUM(F41)</f>
        <v>0</v>
      </c>
      <c r="N24" s="53">
        <f>SUM(G41)</f>
        <v>0</v>
      </c>
    </row>
    <row r="25" spans="1:14" ht="10.050000000000001" customHeight="1" x14ac:dyDescent="0.3">
      <c r="A25" s="62">
        <v>23</v>
      </c>
      <c r="B25" s="12" t="s">
        <v>23</v>
      </c>
      <c r="C25" s="12" t="s">
        <v>51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51"/>
      <c r="K25" s="51"/>
      <c r="L25" s="26" t="s">
        <v>68</v>
      </c>
      <c r="M25" s="53">
        <f>SUM(F42)</f>
        <v>0</v>
      </c>
      <c r="N25" s="53">
        <f>SUM(G42)</f>
        <v>0</v>
      </c>
    </row>
    <row r="26" spans="1:14" ht="10.050000000000001" customHeight="1" x14ac:dyDescent="0.3">
      <c r="A26" s="62">
        <v>24</v>
      </c>
      <c r="B26" s="12" t="s">
        <v>24</v>
      </c>
      <c r="C26" s="12" t="s">
        <v>58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51" t="e">
        <f>SUM(D26)/H26</f>
        <v>#DIV/0!</v>
      </c>
      <c r="K26" s="51" t="e">
        <f>M15/I26</f>
        <v>#DIV/0!</v>
      </c>
      <c r="L26" s="27" t="s">
        <v>69</v>
      </c>
      <c r="M26" s="53">
        <f>SUM(F44)</f>
        <v>0</v>
      </c>
      <c r="N26" s="53">
        <f>SUM(G44)</f>
        <v>0</v>
      </c>
    </row>
    <row r="27" spans="1:14" ht="10.050000000000001" customHeight="1" x14ac:dyDescent="0.3">
      <c r="A27" s="62">
        <v>25</v>
      </c>
      <c r="B27" s="12" t="s">
        <v>25</v>
      </c>
      <c r="C27" s="12" t="s">
        <v>59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51" t="e">
        <f>SUM(D27:D28)/H27</f>
        <v>#DIV/0!</v>
      </c>
      <c r="K27" s="51" t="e">
        <f>M16/I27</f>
        <v>#DIV/0!</v>
      </c>
      <c r="L27" s="9" t="s">
        <v>76</v>
      </c>
      <c r="M27" s="9">
        <f>SUM(M2:M26)</f>
        <v>0</v>
      </c>
      <c r="N27" s="9">
        <f>SUM(N2:N26)</f>
        <v>0</v>
      </c>
    </row>
    <row r="28" spans="1:14" ht="10.050000000000001" customHeight="1" x14ac:dyDescent="0.3">
      <c r="A28" s="62">
        <v>26</v>
      </c>
      <c r="B28" s="12" t="s">
        <v>26</v>
      </c>
      <c r="C28" s="12" t="s">
        <v>59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51"/>
      <c r="K28" s="51"/>
      <c r="L28" s="36"/>
      <c r="M28" s="36"/>
    </row>
    <row r="29" spans="1:14" ht="10.050000000000001" customHeight="1" x14ac:dyDescent="0.3">
      <c r="A29" s="62">
        <v>27</v>
      </c>
      <c r="B29" s="12" t="s">
        <v>27</v>
      </c>
      <c r="C29" s="12" t="s">
        <v>55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51"/>
      <c r="K29" s="51"/>
      <c r="L29" s="49" t="s">
        <v>93</v>
      </c>
      <c r="M29" s="48" t="e">
        <f>F48/I48</f>
        <v>#DIV/0!</v>
      </c>
    </row>
    <row r="30" spans="1:14" ht="10.050000000000001" customHeight="1" x14ac:dyDescent="0.3">
      <c r="A30" s="62">
        <v>28</v>
      </c>
      <c r="B30" s="12" t="s">
        <v>28</v>
      </c>
      <c r="C30" s="12" t="s">
        <v>60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51" t="e">
        <f>SUM(D30)/H30</f>
        <v>#DIV/0!</v>
      </c>
      <c r="K30" s="51" t="e">
        <f>M17/I31</f>
        <v>#DIV/0!</v>
      </c>
      <c r="L30" s="49" t="s">
        <v>94</v>
      </c>
      <c r="M30" s="48" t="e">
        <f>D48/H48</f>
        <v>#DIV/0!</v>
      </c>
    </row>
    <row r="31" spans="1:14" ht="10.050000000000001" customHeight="1" x14ac:dyDescent="0.3">
      <c r="A31" s="62">
        <v>29</v>
      </c>
      <c r="B31" s="17" t="s">
        <v>29</v>
      </c>
      <c r="C31" s="17" t="s">
        <v>49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51"/>
      <c r="K31" s="51"/>
    </row>
    <row r="32" spans="1:14" ht="10.050000000000001" customHeight="1" x14ac:dyDescent="0.3">
      <c r="A32" s="62">
        <v>30</v>
      </c>
      <c r="B32" s="12" t="s">
        <v>30</v>
      </c>
      <c r="C32" s="12" t="s">
        <v>61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51" t="e">
        <f>SUM(D32)/H32</f>
        <v>#DIV/0!</v>
      </c>
      <c r="K32" s="51" t="e">
        <f>M18/I32</f>
        <v>#DIV/0!</v>
      </c>
    </row>
    <row r="33" spans="1:11" ht="10.050000000000001" customHeight="1" x14ac:dyDescent="0.3">
      <c r="A33" s="62">
        <v>31</v>
      </c>
      <c r="B33" s="12" t="s">
        <v>31</v>
      </c>
      <c r="C33" s="12" t="s">
        <v>62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51" t="e">
        <f>SUM(D33:D34)/H33</f>
        <v>#DIV/0!</v>
      </c>
      <c r="K33" s="51" t="e">
        <f>M19/I33</f>
        <v>#DIV/0!</v>
      </c>
    </row>
    <row r="34" spans="1:11" ht="10.050000000000001" customHeight="1" x14ac:dyDescent="0.3">
      <c r="A34" s="62">
        <v>32</v>
      </c>
      <c r="B34" s="12" t="s">
        <v>32</v>
      </c>
      <c r="C34" s="12" t="s">
        <v>62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51"/>
      <c r="K34" s="51"/>
    </row>
    <row r="35" spans="1:11" ht="10.050000000000001" customHeight="1" x14ac:dyDescent="0.3">
      <c r="A35" s="62">
        <v>33</v>
      </c>
      <c r="B35" s="12" t="s">
        <v>33</v>
      </c>
      <c r="C35" s="12" t="s">
        <v>63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51" t="e">
        <f>SUM(D35)/H35</f>
        <v>#DIV/0!</v>
      </c>
      <c r="K35" s="51" t="e">
        <f>M20/I35</f>
        <v>#DIV/0!</v>
      </c>
    </row>
    <row r="36" spans="1:11" ht="10.050000000000001" customHeight="1" x14ac:dyDescent="0.3">
      <c r="A36" s="62">
        <v>34</v>
      </c>
      <c r="B36" s="12" t="s">
        <v>34</v>
      </c>
      <c r="C36" s="12" t="s">
        <v>64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51" t="e">
        <f>SUM(D36:D37)/H36</f>
        <v>#DIV/0!</v>
      </c>
      <c r="K36" s="51" t="e">
        <f>M21/I36</f>
        <v>#DIV/0!</v>
      </c>
    </row>
    <row r="37" spans="1:11" ht="10.050000000000001" customHeight="1" x14ac:dyDescent="0.3">
      <c r="A37" s="62">
        <v>35</v>
      </c>
      <c r="B37" s="12" t="s">
        <v>35</v>
      </c>
      <c r="C37" s="12" t="s">
        <v>64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51"/>
      <c r="K37" s="51"/>
    </row>
    <row r="38" spans="1:11" ht="10.050000000000001" customHeight="1" x14ac:dyDescent="0.3">
      <c r="A38" s="62">
        <v>36</v>
      </c>
      <c r="B38" s="12" t="s">
        <v>36</v>
      </c>
      <c r="C38" s="12" t="s">
        <v>65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51" t="e">
        <f>SUM(D38)/H38</f>
        <v>#DIV/0!</v>
      </c>
      <c r="K38" s="51" t="e">
        <f>M22/I38</f>
        <v>#DIV/0!</v>
      </c>
    </row>
    <row r="39" spans="1:11" ht="10.050000000000001" customHeight="1" x14ac:dyDescent="0.3">
      <c r="A39" s="62">
        <v>37</v>
      </c>
      <c r="B39" s="12" t="s">
        <v>37</v>
      </c>
      <c r="C39" s="12" t="s">
        <v>66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51" t="e">
        <f>SUM(D39:D40)/H39</f>
        <v>#DIV/0!</v>
      </c>
      <c r="K39" s="51" t="e">
        <f>M23/I39</f>
        <v>#DIV/0!</v>
      </c>
    </row>
    <row r="40" spans="1:11" ht="10.050000000000001" customHeight="1" x14ac:dyDescent="0.3">
      <c r="A40" s="62">
        <v>38</v>
      </c>
      <c r="B40" s="12" t="s">
        <v>38</v>
      </c>
      <c r="C40" s="12" t="s">
        <v>66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51"/>
      <c r="K40" s="51"/>
    </row>
    <row r="41" spans="1:11" ht="10.050000000000001" customHeight="1" x14ac:dyDescent="0.3">
      <c r="A41" s="62">
        <v>39</v>
      </c>
      <c r="B41" s="12" t="s">
        <v>39</v>
      </c>
      <c r="C41" s="12" t="s">
        <v>67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51" t="e">
        <f>SUM(D41)/H41</f>
        <v>#DIV/0!</v>
      </c>
      <c r="K41" s="51" t="e">
        <f>M24/I41</f>
        <v>#DIV/0!</v>
      </c>
    </row>
    <row r="42" spans="1:11" ht="10.050000000000001" customHeight="1" x14ac:dyDescent="0.3">
      <c r="A42" s="62">
        <v>40</v>
      </c>
      <c r="B42" s="12" t="s">
        <v>40</v>
      </c>
      <c r="C42" s="14" t="s">
        <v>68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51" t="e">
        <f>SUM(D42)/H42</f>
        <v>#DIV/0!</v>
      </c>
      <c r="K42" s="51" t="e">
        <f>M25/I42</f>
        <v>#DIV/0!</v>
      </c>
    </row>
    <row r="43" spans="1:11" ht="10.050000000000001" customHeight="1" x14ac:dyDescent="0.3">
      <c r="A43" s="62">
        <v>41</v>
      </c>
      <c r="B43" s="12" t="s">
        <v>41</v>
      </c>
      <c r="C43" s="12" t="s">
        <v>48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51"/>
      <c r="K43" s="51"/>
    </row>
    <row r="44" spans="1:11" ht="10.050000000000001" customHeight="1" x14ac:dyDescent="0.3">
      <c r="A44" s="62">
        <v>42</v>
      </c>
      <c r="B44" s="18" t="s">
        <v>42</v>
      </c>
      <c r="C44" s="19" t="s">
        <v>69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51" t="e">
        <f>SUM(D44)/H44</f>
        <v>#DIV/0!</v>
      </c>
      <c r="K44" s="51" t="e">
        <f>M26/I44</f>
        <v>#DIV/0!</v>
      </c>
    </row>
    <row r="45" spans="1:11" ht="10.050000000000001" customHeight="1" x14ac:dyDescent="0.3">
      <c r="A45" s="62">
        <v>43</v>
      </c>
      <c r="B45" s="12" t="s">
        <v>43</v>
      </c>
      <c r="C45" s="12" t="s">
        <v>70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51"/>
      <c r="K45" s="51"/>
    </row>
    <row r="46" spans="1:11" ht="10.050000000000001" customHeight="1" x14ac:dyDescent="0.3">
      <c r="A46" s="62">
        <v>44</v>
      </c>
      <c r="B46" s="12" t="s">
        <v>44</v>
      </c>
      <c r="C46" s="12" t="s">
        <v>70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51"/>
      <c r="K46" s="51"/>
    </row>
    <row r="47" spans="1:11" ht="10.050000000000001" customHeight="1" x14ac:dyDescent="0.3">
      <c r="B47" s="20"/>
      <c r="C47" s="9" t="s">
        <v>76</v>
      </c>
      <c r="D47" s="21">
        <f t="shared" ref="D47:I47" si="0">SUM(D3:D46)</f>
        <v>0</v>
      </c>
      <c r="E47" s="21">
        <f t="shared" si="0"/>
        <v>0</v>
      </c>
      <c r="F47" s="21">
        <f t="shared" si="0"/>
        <v>0</v>
      </c>
      <c r="G47" s="21">
        <f t="shared" si="0"/>
        <v>0</v>
      </c>
      <c r="H47" s="21">
        <f t="shared" si="0"/>
        <v>0</v>
      </c>
      <c r="I47" s="21">
        <f t="shared" si="0"/>
        <v>0</v>
      </c>
      <c r="J47" s="22" t="e">
        <f>D47/H47</f>
        <v>#DIV/0!</v>
      </c>
      <c r="K47" s="22" t="e">
        <f>M27/I47</f>
        <v>#DIV/0!</v>
      </c>
    </row>
    <row r="48" spans="1:11" x14ac:dyDescent="0.3">
      <c r="C48" s="47"/>
      <c r="D48" s="46">
        <f>D47</f>
        <v>0</v>
      </c>
      <c r="E48" s="47"/>
      <c r="F48" s="46">
        <f>F47</f>
        <v>0</v>
      </c>
      <c r="G48" s="47"/>
      <c r="H48" s="46">
        <f>H47</f>
        <v>0</v>
      </c>
      <c r="I48" s="46">
        <f>I47</f>
        <v>0</v>
      </c>
    </row>
    <row r="49" spans="8:8" x14ac:dyDescent="0.3">
      <c r="H49" s="37"/>
    </row>
  </sheetData>
  <sheetProtection algorithmName="SHA-512" hashValue="iliuyF64B2zC4ZqL197L2tZFX06deyznsVGpp5GE2leMxyk4OUY4LTCqb7nSr0eA+mTfEeaq0v7NlkJUU4sM+Q==" saltValue="aTKmkvNKgsB4o2m+pcNc3g==" spinCount="100000" sheet="1" objects="1" scenarios="1" selectLockedCells="1" sort="0" autoFilter="0" pivotTables="0"/>
  <autoFilter ref="A1:N1">
    <filterColumn colId="3" showButton="0"/>
    <filterColumn colId="5" showButton="0"/>
  </autoFilter>
  <mergeCells count="2">
    <mergeCell ref="D1:E1"/>
    <mergeCell ref="F1:G1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28"/>
  <sheetViews>
    <sheetView tabSelected="1" workbookViewId="0">
      <selection activeCell="D4" sqref="D4"/>
    </sheetView>
  </sheetViews>
  <sheetFormatPr defaultRowHeight="14.4" x14ac:dyDescent="0.3"/>
  <cols>
    <col min="1" max="1" width="43.5546875" bestFit="1" customWidth="1"/>
    <col min="2" max="2" width="10.5546875" bestFit="1" customWidth="1"/>
    <col min="5" max="5" width="12.5546875" customWidth="1"/>
    <col min="6" max="6" width="12.88671875" customWidth="1"/>
    <col min="10" max="10" width="43.5546875" bestFit="1" customWidth="1"/>
    <col min="11" max="11" width="10.5546875" bestFit="1" customWidth="1"/>
  </cols>
  <sheetData>
    <row r="1" spans="1:11" x14ac:dyDescent="0.3">
      <c r="A1" s="31" t="s">
        <v>83</v>
      </c>
      <c r="B1" s="32" t="s">
        <v>76</v>
      </c>
      <c r="C1" s="30"/>
      <c r="D1" s="30"/>
      <c r="E1" s="31" t="s">
        <v>84</v>
      </c>
      <c r="F1" s="31"/>
      <c r="G1" s="47"/>
      <c r="J1" s="31" t="s">
        <v>91</v>
      </c>
      <c r="K1" s="32" t="s">
        <v>76</v>
      </c>
    </row>
    <row r="2" spans="1:11" x14ac:dyDescent="0.3">
      <c r="A2" s="12" t="s">
        <v>45</v>
      </c>
      <c r="B2" s="54">
        <f>APRIL!$M$2+MAY!M2+JUNE!M2</f>
        <v>0</v>
      </c>
      <c r="E2" s="33" t="s">
        <v>86</v>
      </c>
      <c r="F2" s="33" t="s">
        <v>76</v>
      </c>
      <c r="G2" s="58" t="s">
        <v>90</v>
      </c>
      <c r="J2" s="12" t="s">
        <v>45</v>
      </c>
      <c r="K2" s="54">
        <f>APRIL!$D$3+MAY!D3+JUNE!D3</f>
        <v>0</v>
      </c>
    </row>
    <row r="3" spans="1:11" x14ac:dyDescent="0.3">
      <c r="A3" s="23" t="s">
        <v>46</v>
      </c>
      <c r="B3" s="54">
        <f>APRIL!$M$3+MAY!M3+JUNE!M3</f>
        <v>0</v>
      </c>
      <c r="E3" t="s">
        <v>85</v>
      </c>
      <c r="F3" s="37" t="e">
        <f>APRIL!$M$27/F7</f>
        <v>#DIV/0!</v>
      </c>
      <c r="G3" s="46" t="e">
        <f>1-Table1[[#This Row],[TOTAL]]</f>
        <v>#DIV/0!</v>
      </c>
      <c r="J3" s="23" t="s">
        <v>46</v>
      </c>
      <c r="K3" s="54">
        <f>APRIL!$D$22+APRIL!D4+MAY!D4+MAY!D22+JUNE!D4+JUNE!D22</f>
        <v>0</v>
      </c>
    </row>
    <row r="4" spans="1:11" x14ac:dyDescent="0.3">
      <c r="A4" s="23" t="s">
        <v>47</v>
      </c>
      <c r="B4" s="54">
        <f>APRIL!$M$4+MAY!M4+JUNE!M4</f>
        <v>0</v>
      </c>
      <c r="E4" t="s">
        <v>87</v>
      </c>
      <c r="F4" s="37" t="e">
        <f>MAY!$M$27/F7</f>
        <v>#DIV/0!</v>
      </c>
      <c r="G4" s="46" t="e">
        <f>1-Table1[[#This Row],[TOTAL]]</f>
        <v>#DIV/0!</v>
      </c>
      <c r="J4" s="23" t="s">
        <v>47</v>
      </c>
      <c r="K4" s="54">
        <f>APRIL!$D$5+APRIL!D7+APRIL!D11+APRIL!D12+MAY!D7+MAY!D11+MAY!D5+MAY!D12+JUNE!D5+JUNE!D7+JUNE!D11+JUNE!D12</f>
        <v>0</v>
      </c>
    </row>
    <row r="5" spans="1:11" x14ac:dyDescent="0.3">
      <c r="A5" s="23" t="s">
        <v>48</v>
      </c>
      <c r="B5" s="54">
        <f>APRIL!$M$5+MAY!M5+JUNE!M5</f>
        <v>0</v>
      </c>
      <c r="E5" t="s">
        <v>88</v>
      </c>
      <c r="F5" s="37" t="e">
        <f>JUNE!$M$27/F7</f>
        <v>#DIV/0!</v>
      </c>
      <c r="G5" s="46" t="e">
        <f>1-Table1[[#This Row],[TOTAL]]</f>
        <v>#DIV/0!</v>
      </c>
      <c r="J5" s="23" t="s">
        <v>48</v>
      </c>
      <c r="K5" s="54">
        <f>APRIL!$D$6+APRIL!D43+MAY!D6+MAY!D43+JUNE!D6+JUNE!D43</f>
        <v>0</v>
      </c>
    </row>
    <row r="6" spans="1:11" x14ac:dyDescent="0.3">
      <c r="A6" s="24" t="s">
        <v>49</v>
      </c>
      <c r="B6" s="54">
        <f>APRIL!$M$6+MAY!M6+JUNE!M6</f>
        <v>0</v>
      </c>
      <c r="E6" s="32" t="s">
        <v>76</v>
      </c>
      <c r="F6" s="38" t="e">
        <f>SUM(F3,F4,F5)</f>
        <v>#DIV/0!</v>
      </c>
      <c r="G6" s="47"/>
      <c r="J6" s="24" t="s">
        <v>49</v>
      </c>
      <c r="K6" s="54">
        <f>APRIL!$D$8+APRIL!D31+MAY!D8+MAY!D31+JUNE!D8+JUNE!D31</f>
        <v>0</v>
      </c>
    </row>
    <row r="7" spans="1:11" x14ac:dyDescent="0.3">
      <c r="A7" s="23" t="s">
        <v>50</v>
      </c>
      <c r="B7" s="54">
        <f>APRIL!$M$7+MAY!M7+JUNE!M7</f>
        <v>0</v>
      </c>
      <c r="E7" s="39" t="s">
        <v>89</v>
      </c>
      <c r="F7" s="40">
        <f>APRIL!I47+MAY!I47+JUNE!I47</f>
        <v>0</v>
      </c>
      <c r="G7" s="47"/>
      <c r="J7" s="23" t="s">
        <v>50</v>
      </c>
      <c r="K7" s="54">
        <f>APRIL!$D$9+MAY!D9+JUNE!D9</f>
        <v>0</v>
      </c>
    </row>
    <row r="8" spans="1:11" x14ac:dyDescent="0.3">
      <c r="A8" s="23" t="s">
        <v>51</v>
      </c>
      <c r="B8" s="54">
        <f>APRIL!$M$8+MAY!M8+JUNE!M8</f>
        <v>0</v>
      </c>
      <c r="E8" s="34"/>
      <c r="F8" s="35"/>
      <c r="G8" s="57"/>
      <c r="J8" s="23" t="s">
        <v>51</v>
      </c>
      <c r="K8" s="54">
        <f>APRIL!$D$10+APRIL!D18+APRIL!D25+APRIL!D45+APRIL!D46+MAY!D10+MAY!D18+MAY!D25+MAY!D45+MAY!D46+JUNE!D10+JUNE!D18+JUNE!D25+JUNE!D45+JUNE!D46</f>
        <v>0</v>
      </c>
    </row>
    <row r="9" spans="1:11" x14ac:dyDescent="0.3">
      <c r="A9" s="23" t="s">
        <v>52</v>
      </c>
      <c r="B9" s="54">
        <f>APRIL!$M$9+MAY!M9+JUNE!M9</f>
        <v>0</v>
      </c>
      <c r="E9" s="31" t="s">
        <v>92</v>
      </c>
      <c r="F9" s="31"/>
      <c r="G9" s="57"/>
      <c r="J9" s="23" t="s">
        <v>52</v>
      </c>
      <c r="K9" s="54">
        <f>APRIL!$D$13+APRIL!D14+APRIL!D15+MAY!D13+MAY!D14+MAY!D15+JUNE!D13+JUNE!D14+JUNE!D15</f>
        <v>0</v>
      </c>
    </row>
    <row r="10" spans="1:11" x14ac:dyDescent="0.3">
      <c r="A10" s="23" t="s">
        <v>53</v>
      </c>
      <c r="B10" s="54">
        <f>APRIL!$M$10+MAY!M10+JUNE!M10</f>
        <v>0</v>
      </c>
      <c r="E10" s="33" t="s">
        <v>86</v>
      </c>
      <c r="F10" s="33" t="s">
        <v>76</v>
      </c>
      <c r="G10" s="57"/>
      <c r="J10" s="23" t="s">
        <v>53</v>
      </c>
      <c r="K10" s="54">
        <f>APRIL!$D$16+MAY!D16+JUNE!D16</f>
        <v>0</v>
      </c>
    </row>
    <row r="11" spans="1:11" x14ac:dyDescent="0.3">
      <c r="A11" s="25" t="s">
        <v>54</v>
      </c>
      <c r="B11" s="54">
        <f>APRIL!$M$11+MAY!M11+JUNE!M11</f>
        <v>0</v>
      </c>
      <c r="E11" s="34" t="s">
        <v>85</v>
      </c>
      <c r="F11" s="36" t="e">
        <f>APRIL!$D$47/F15</f>
        <v>#DIV/0!</v>
      </c>
      <c r="G11" s="57" t="e">
        <f>1-F11</f>
        <v>#DIV/0!</v>
      </c>
      <c r="J11" s="25" t="s">
        <v>54</v>
      </c>
      <c r="K11" s="54">
        <f>APRIL!$D$19+APRIL!D21+MAY!D19+MAY!D21+JUNE!D19+JUNE!D21</f>
        <v>0</v>
      </c>
    </row>
    <row r="12" spans="1:11" x14ac:dyDescent="0.3">
      <c r="A12" s="23" t="s">
        <v>55</v>
      </c>
      <c r="B12" s="54">
        <f>APRIL!$M$12+MAY!M12+JUNE!M12</f>
        <v>0</v>
      </c>
      <c r="E12" s="34" t="s">
        <v>87</v>
      </c>
      <c r="F12" s="36" t="e">
        <f>MAY!$D$47/F15</f>
        <v>#DIV/0!</v>
      </c>
      <c r="G12" s="57" t="e">
        <f>1-F12</f>
        <v>#DIV/0!</v>
      </c>
      <c r="J12" s="23" t="s">
        <v>55</v>
      </c>
      <c r="K12" s="54">
        <f>APRIL!$D$20+APRIL!D29+MAY!D20+MAY!D29+JUNE!D20+JUNE!D29</f>
        <v>0</v>
      </c>
    </row>
    <row r="13" spans="1:11" x14ac:dyDescent="0.3">
      <c r="A13" s="23" t="s">
        <v>56</v>
      </c>
      <c r="B13" s="54">
        <f>APRIL!$M$13+MAY!M13+JUNE!M13</f>
        <v>0</v>
      </c>
      <c r="E13" s="34" t="s">
        <v>88</v>
      </c>
      <c r="F13" s="36" t="e">
        <f>JUNE!$D$47/F15</f>
        <v>#DIV/0!</v>
      </c>
      <c r="G13" s="46" t="e">
        <f>1-F13</f>
        <v>#DIV/0!</v>
      </c>
      <c r="J13" s="23" t="s">
        <v>56</v>
      </c>
      <c r="K13" s="54">
        <f>APRIL!$D$23+MAY!D23+JUNE!D23</f>
        <v>0</v>
      </c>
    </row>
    <row r="14" spans="1:11" x14ac:dyDescent="0.3">
      <c r="A14" s="23" t="s">
        <v>57</v>
      </c>
      <c r="B14" s="54">
        <f>APRIL!$M$14+MAY!M14+JUNE!M14</f>
        <v>0</v>
      </c>
      <c r="E14" s="32" t="s">
        <v>76</v>
      </c>
      <c r="F14" s="41" t="e">
        <f>SUM(F11:F13)</f>
        <v>#DIV/0!</v>
      </c>
      <c r="G14" s="47"/>
      <c r="J14" s="23" t="s">
        <v>57</v>
      </c>
      <c r="K14" s="54">
        <f>APRIL!$D$24+MAY!D24+JUNE!D24</f>
        <v>0</v>
      </c>
    </row>
    <row r="15" spans="1:11" x14ac:dyDescent="0.3">
      <c r="A15" s="23" t="s">
        <v>58</v>
      </c>
      <c r="B15" s="54">
        <f>APRIL!$M$15+MAY!M15+JUNE!M15</f>
        <v>0</v>
      </c>
      <c r="E15" s="39" t="s">
        <v>89</v>
      </c>
      <c r="F15" s="39">
        <f>APRIL!H47+MAY!H47+JUNE!H47</f>
        <v>0</v>
      </c>
      <c r="G15" s="47"/>
      <c r="J15" s="23" t="s">
        <v>58</v>
      </c>
      <c r="K15" s="54">
        <f>APRIL!$D$26+MAY!D26+JUNE!D26</f>
        <v>0</v>
      </c>
    </row>
    <row r="16" spans="1:11" x14ac:dyDescent="0.3">
      <c r="A16" s="23" t="s">
        <v>59</v>
      </c>
      <c r="B16" s="54">
        <f>APRIL!$M$16+MAY!M16+JUNE!M16</f>
        <v>0</v>
      </c>
      <c r="J16" s="23" t="s">
        <v>59</v>
      </c>
      <c r="K16" s="54">
        <f>APRIL!$D$27+APRIL!D28+MAY!D27+MAY!D28+JUNE!D27+JUNE!D28</f>
        <v>0</v>
      </c>
    </row>
    <row r="17" spans="1:11" x14ac:dyDescent="0.3">
      <c r="A17" s="23" t="s">
        <v>60</v>
      </c>
      <c r="B17" s="54">
        <f>APRIL!$M$17+MAY!M17+JUNE!M17</f>
        <v>0</v>
      </c>
      <c r="J17" s="23" t="s">
        <v>60</v>
      </c>
      <c r="K17" s="54">
        <f>APRIL!$D$30+MAY!D30+JUNE!D30</f>
        <v>0</v>
      </c>
    </row>
    <row r="18" spans="1:11" x14ac:dyDescent="0.3">
      <c r="A18" s="23" t="s">
        <v>61</v>
      </c>
      <c r="B18" s="54">
        <f>APRIL!$M$18+MAY!M18+JUNE!M18</f>
        <v>0</v>
      </c>
      <c r="J18" s="23" t="s">
        <v>61</v>
      </c>
      <c r="K18" s="54">
        <f>APRIL!$D$32+MAY!D32+JUNE!D32</f>
        <v>0</v>
      </c>
    </row>
    <row r="19" spans="1:11" x14ac:dyDescent="0.3">
      <c r="A19" s="23" t="s">
        <v>62</v>
      </c>
      <c r="B19" s="54">
        <f>APRIL!$M$19+MAY!M19+JUNE!M19</f>
        <v>0</v>
      </c>
      <c r="J19" s="23" t="s">
        <v>62</v>
      </c>
      <c r="K19" s="54">
        <f>APRIL!$D$33+APRIL!D34+MAY!D33+MAY!D34+JUNE!D33+JUNE!D34</f>
        <v>0</v>
      </c>
    </row>
    <row r="20" spans="1:11" x14ac:dyDescent="0.3">
      <c r="A20" s="23" t="s">
        <v>63</v>
      </c>
      <c r="B20" s="54">
        <f>APRIL!$M$20+MAY!M20+JUNE!M20</f>
        <v>0</v>
      </c>
      <c r="J20" s="23" t="s">
        <v>63</v>
      </c>
      <c r="K20" s="54">
        <f>APRIL!$D$35+MAY!D35+JUNE!D35</f>
        <v>0</v>
      </c>
    </row>
    <row r="21" spans="1:11" x14ac:dyDescent="0.3">
      <c r="A21" s="23" t="s">
        <v>64</v>
      </c>
      <c r="B21" s="54">
        <f>APRIL!$M$21+MAY!M21+JUNE!M21</f>
        <v>0</v>
      </c>
      <c r="J21" s="23" t="s">
        <v>64</v>
      </c>
      <c r="K21" s="54">
        <f>APRIL!$D$36+APRIL!D37+MAY!D36+MAY!D37+JUNE!D36+JUNE!D37</f>
        <v>0</v>
      </c>
    </row>
    <row r="22" spans="1:11" x14ac:dyDescent="0.3">
      <c r="A22" s="23" t="s">
        <v>65</v>
      </c>
      <c r="B22" s="54">
        <f>APRIL!$M$22+MAY!M22+JUNE!M22</f>
        <v>0</v>
      </c>
      <c r="J22" s="23" t="s">
        <v>65</v>
      </c>
      <c r="K22" s="54">
        <f>APRIL!$D$38+MAY!D38+JUNE!D38</f>
        <v>0</v>
      </c>
    </row>
    <row r="23" spans="1:11" x14ac:dyDescent="0.3">
      <c r="A23" s="23" t="s">
        <v>66</v>
      </c>
      <c r="B23" s="54">
        <f>APRIL!$M$23+MAY!M23+JUNE!M23</f>
        <v>0</v>
      </c>
      <c r="J23" s="23" t="s">
        <v>66</v>
      </c>
      <c r="K23" s="54">
        <f>APRIL!$D$39+APRIL!D40+MAY!D39+MAY!D40+JUNE!D39+JUNE!D40</f>
        <v>0</v>
      </c>
    </row>
    <row r="24" spans="1:11" x14ac:dyDescent="0.3">
      <c r="A24" s="23" t="s">
        <v>67</v>
      </c>
      <c r="B24" s="54">
        <f>APRIL!$M$24+MAY!M24+JUNE!M24</f>
        <v>0</v>
      </c>
      <c r="J24" s="23" t="s">
        <v>67</v>
      </c>
      <c r="K24" s="54">
        <f>APRIL!$D$41+MAY!D41+JUNE!D41</f>
        <v>0</v>
      </c>
    </row>
    <row r="25" spans="1:11" x14ac:dyDescent="0.3">
      <c r="A25" s="26" t="s">
        <v>68</v>
      </c>
      <c r="B25" s="54">
        <f>APRIL!$M$25+MAY!M25+JUNE!M25</f>
        <v>0</v>
      </c>
      <c r="J25" s="26" t="s">
        <v>68</v>
      </c>
      <c r="K25" s="54">
        <f>APRIL!$D$42+MAY!D42+JUNE!D42</f>
        <v>0</v>
      </c>
    </row>
    <row r="26" spans="1:11" x14ac:dyDescent="0.3">
      <c r="A26" s="27" t="s">
        <v>69</v>
      </c>
      <c r="B26" s="54">
        <f>APRIL!$M$26+MAY!M26+JUNE!M26</f>
        <v>0</v>
      </c>
      <c r="J26" s="27" t="s">
        <v>69</v>
      </c>
      <c r="K26" s="54">
        <f>APRIL!$D$44+MAY!D44+JUNE!D44</f>
        <v>0</v>
      </c>
    </row>
    <row r="27" spans="1:11" x14ac:dyDescent="0.3">
      <c r="A27" s="44" t="s">
        <v>76</v>
      </c>
      <c r="B27" s="55">
        <f>SUM(B2:B26)</f>
        <v>0</v>
      </c>
      <c r="J27" s="44" t="s">
        <v>95</v>
      </c>
      <c r="K27" s="56">
        <f>SUM(K2:K26)</f>
        <v>0</v>
      </c>
    </row>
    <row r="28" spans="1:11" x14ac:dyDescent="0.3">
      <c r="J28" s="42" t="s">
        <v>89</v>
      </c>
      <c r="K28" s="43">
        <f>APRIL!$H$47+MAY!H47+JUNE!H47</f>
        <v>0</v>
      </c>
    </row>
  </sheetData>
  <sheetProtection algorithmName="SHA-512" hashValue="9hlELCoJfDRV42+/dpW7RjEC/N05LKWmA/H/lAOisnGvzUuMNYvPHQwmtgWB7y+uL4qALdiymREXoBR1qgR5iA==" saltValue="Txol8CDO5wGNM6g7fcbPMA==" spinCount="100000" sheet="1" objects="1" scenarios="1" selectLockedCells="1" sort="0" autoFilter="0" pivotTables="0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APRIL</vt:lpstr>
      <vt:lpstr>MAY</vt:lpstr>
      <vt:lpstr>JUNE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CFHI SI OFFICER</dc:creator>
  <cp:lastModifiedBy>CFHI SI OFFICER</cp:lastModifiedBy>
  <dcterms:created xsi:type="dcterms:W3CDTF">2020-03-29T05:51:03Z</dcterms:created>
  <dcterms:modified xsi:type="dcterms:W3CDTF">2020-04-18T08:58:14Z</dcterms:modified>
</cp:coreProperties>
</file>